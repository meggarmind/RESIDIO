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e0fd31006c0bfcd9/Documents/"/>
    </mc:Choice>
  </mc:AlternateContent>
  <xr:revisionPtr revIDLastSave="21" documentId="8_{934A3EB7-4BF9-48D8-B52D-1B6E075A5D44}" xr6:coauthVersionLast="47" xr6:coauthVersionMax="47" xr10:uidLastSave="{CFB8EA9F-45A9-467D-AB5C-B96560E3C55D}"/>
  <bookViews>
    <workbookView xWindow="-120" yWindow="-120" windowWidth="29040" windowHeight="15720" xr2:uid="{161D1323-F04F-4677-B4E8-8F9E20FC4A6A}"/>
  </bookViews>
  <sheets>
    <sheet name="ALL STREET IN OPERA" sheetId="1" r:id="rId1"/>
  </sheets>
  <externalReferences>
    <externalReference r:id="rId2"/>
  </externalReferences>
  <definedNames>
    <definedName name="_current_month">[1]Configuration!$C$2</definedName>
    <definedName name="_current_year">[1]Configuration!$C$1</definedName>
    <definedName name="_streets">[1]!Tbl_Street[Name]</definedName>
    <definedName name="glb11_name">'ALL STREET IN OPERA'!$C$1402</definedName>
    <definedName name="glb11_total">'ALL STREET IN OPERA'!$T$1413</definedName>
    <definedName name="glb12_name">'ALL STREET IN OPERA'!$D$1416</definedName>
    <definedName name="glb12_total">'ALL STREET IN OPERA'!$T$1424</definedName>
    <definedName name="glb14_name">'ALL STREET IN OPERA'!$C$1446</definedName>
    <definedName name="glb14_total">'ALL STREET IN OPERA'!$T$1457</definedName>
    <definedName name="glb14c_name">'ALL STREET IN OPERA'!$C$1437</definedName>
    <definedName name="glb14c_total">'ALL STREET IN OPERA'!$T$1443</definedName>
    <definedName name="glb16_name">'ALL STREET IN OPERA'!$C$1462</definedName>
    <definedName name="glb16_total">'ALL STREET IN OPERA'!$T$1473</definedName>
    <definedName name="glb16bq_name">'ALL STREET IN OPERA'!$C$1476</definedName>
    <definedName name="glb16bq_total">'ALL STREET IN OPERA'!$T$1482</definedName>
    <definedName name="glb17af1_name">'ALL STREET IN OPERA'!$C$1485</definedName>
    <definedName name="glb17af1_total">'ALL STREET IN OPERA'!$T$1493</definedName>
    <definedName name="glb17af2_name">'ALL STREET IN OPERA'!$C$1496</definedName>
    <definedName name="glb17af2_total">'ALL STREET IN OPERA'!$T$1503</definedName>
    <definedName name="glb17f2_name">'ALL STREET IN OPERA'!$C$1506</definedName>
    <definedName name="glb17f2_total">'ALL STREET IN OPERA'!$T$1511</definedName>
    <definedName name="glb19??_total">'ALL STREET IN OPERA'!$T$1528</definedName>
    <definedName name="glb19?_name">'ALL STREET IN OPERA'!$C$1523</definedName>
    <definedName name="glb19?_total">'ALL STREET IN OPERA'!$T$1528</definedName>
    <definedName name="glb19_name">'ALL STREET IN OPERA'!$C$1514</definedName>
    <definedName name="glb19_total">'ALL STREET IN OPERA'!$T$1520</definedName>
    <definedName name="glb19af1_name">'ALL STREET IN OPERA'!$C$1532</definedName>
    <definedName name="glb19af1_total">'ALL STREET IN OPERA'!$T$1539</definedName>
    <definedName name="glb19af2_name">'ALL STREET IN OPERA'!$C$1542</definedName>
    <definedName name="glb19af2_total">'ALL STREET IN OPERA'!$T$1549</definedName>
    <definedName name="glb19af3_name">'ALL STREET IN OPERA'!$C$1552</definedName>
    <definedName name="glb19af3_total">'ALL STREET IN OPERA'!$T$1559</definedName>
    <definedName name="glb19bf1_name">'ALL STREET IN OPERA'!$D$1562</definedName>
    <definedName name="glb19bf1_total">'ALL STREET IN OPERA'!$T$1569</definedName>
    <definedName name="glb19bf2_name">'ALL STREET IN OPERA'!$C$1572</definedName>
    <definedName name="glb19bf2_total">'ALL STREET IN OPERA'!$T$1579</definedName>
    <definedName name="glb19cf2_name">'ALL STREET IN OPERA'!$D$1583</definedName>
    <definedName name="glb19cf2_total">'ALL STREET IN OPERA'!$T$1588</definedName>
    <definedName name="glb19cf3_name">'ALL STREET IN OPERA'!$C$1591</definedName>
    <definedName name="glb19cf3_total">'ALL STREET IN OPERA'!$T$1602</definedName>
    <definedName name="glb1a_name">'ALL STREET IN OPERA'!$C$1213</definedName>
    <definedName name="glb1a_total">'ALL STREET IN OPERA'!$T$1220</definedName>
    <definedName name="glb20f1_name">'ALL STREET IN OPERA'!$C$1605</definedName>
    <definedName name="glb20f1_total">'ALL STREET IN OPERA'!$T$1611</definedName>
    <definedName name="glb20f2_name">'ALL STREET IN OPERA'!$C$1614</definedName>
    <definedName name="glb20f2_total">'ALL STREET IN OPERA'!$T$1621</definedName>
    <definedName name="glb20f3_name">'ALL STREET IN OPERA'!$C$1624</definedName>
    <definedName name="glb20f3_total">'ALL STREET IN OPERA'!$T$1631</definedName>
    <definedName name="glb20f4_name">'ALL STREET IN OPERA'!$D$1634</definedName>
    <definedName name="glb20f4_total">'ALL STREET IN OPERA'!$T$1641</definedName>
    <definedName name="glb20f5_name">'ALL STREET IN OPERA'!$C$1644</definedName>
    <definedName name="glb20f5_total">'ALL STREET IN OPERA'!$T$1650</definedName>
    <definedName name="glb20f6_name">'ALL STREET IN OPERA'!$C$1653</definedName>
    <definedName name="glb20f6_total">'ALL STREET IN OPERA'!$T$1659</definedName>
    <definedName name="glb20f7_name">'ALL STREET IN OPERA'!$C$1662</definedName>
    <definedName name="glb20f7_total">'ALL STREET IN OPERA'!$T$1669</definedName>
    <definedName name="glb20f8_name">'ALL STREET IN OPERA'!$C$1672</definedName>
    <definedName name="glb20f8_total">'ALL STREET IN OPERA'!$T$1678</definedName>
    <definedName name="glb20f9_name">'ALL STREET IN OPERA'!$C$1681</definedName>
    <definedName name="glb20f9_total">'ALL STREET IN OPERA'!$T$1688</definedName>
    <definedName name="glb21_name">'ALL STREET IN OPERA'!$C$1691</definedName>
    <definedName name="glb21_total">'ALL STREET IN OPERA'!$T$1702</definedName>
    <definedName name="glb2a_name">'ALL STREET IN OPERA'!$C$1237</definedName>
    <definedName name="glb2a_total">'ALL STREET IN OPERA'!$T$1243</definedName>
    <definedName name="glb2b_name">'ALL STREET IN OPERA'!$C$1246</definedName>
    <definedName name="glb2b_total">'ALL STREET IN OPERA'!$T$1253</definedName>
    <definedName name="glb3a_name">'ALL STREET IN OPERA'!$C$1257</definedName>
    <definedName name="glb3a_total">'ALL STREET IN OPERA'!$T$1263</definedName>
    <definedName name="glb3b_name">'ALL STREET IN OPERA'!$C$1267</definedName>
    <definedName name="glb3b_total">'ALL STREET IN OPERA'!$T$1274</definedName>
    <definedName name="glb4_name">'ALL STREET IN OPERA'!$C$1277</definedName>
    <definedName name="glb4_total">'ALL STREET IN OPERA'!$T$1285</definedName>
    <definedName name="glb5a_name">'ALL STREET IN OPERA'!$C$1290</definedName>
    <definedName name="glb5a_total">'ALL STREET IN OPERA'!$T$1294</definedName>
    <definedName name="glb5b_name">'ALL STREET IN OPERA'!$C$1298</definedName>
    <definedName name="glb5b_total">'ALL STREET IN OPERA'!$T$1305</definedName>
    <definedName name="glb6_name">'ALL STREET IN OPERA'!$C$1308</definedName>
    <definedName name="glb6_total">'ALL STREET IN OPERA'!$T$1319</definedName>
    <definedName name="glb7a_name">'ALL STREET IN OPERA'!$C$1322</definedName>
    <definedName name="glb7a_total">'ALL STREET IN OPERA'!$T$1333</definedName>
    <definedName name="glb7b_name">'ALL STREET IN OPERA'!$C$1337</definedName>
    <definedName name="glb7b_total">'ALL STREET IN OPERA'!$T$1346</definedName>
    <definedName name="glb8_name">'ALL STREET IN OPERA'!$C$1349</definedName>
    <definedName name="glb8_total">'ALL STREET IN OPERA'!$T$1356</definedName>
    <definedName name="glb9a_name">'ALL STREET IN OPERA'!$D$1360</definedName>
    <definedName name="glb9a_total">'ALL STREET IN OPERA'!$T$1367</definedName>
    <definedName name="glb9bf1_name">'ALL STREET IN OPERA'!$C$1371</definedName>
    <definedName name="glb9bf1_total">'ALL STREET IN OPERA'!$T$1379</definedName>
    <definedName name="glb9bf2_name">'ALL STREET IN OPERA'!$C$1382</definedName>
    <definedName name="glb9bf2_total">'ALL STREET IN OPERA'!$T$1388</definedName>
    <definedName name="glb9d_name">'ALL STREET IN OPERA'!$D$1391</definedName>
    <definedName name="glb9d_total">'ALL STREET IN OPERA'!$T$1399</definedName>
    <definedName name="ibb1_name">'ALL STREET IN OPERA'!$D$632</definedName>
    <definedName name="ibb1_total">'ALL STREET IN OPERA'!$T$643</definedName>
    <definedName name="ibb10a_name">'ALL STREET IN OPERA'!$C$743</definedName>
    <definedName name="ibb10a_total">'ALL STREET IN OPERA'!$T$751</definedName>
    <definedName name="ibb10b_name">'ALL STREET IN OPERA'!$C$754</definedName>
    <definedName name="ibb10b_total">'ALL STREET IN OPERA'!$T$761</definedName>
    <definedName name="ibb10c_name">'ALL STREET IN OPERA'!$C$766</definedName>
    <definedName name="ibb10c_total">'ALL STREET IN OPERA'!$T$777</definedName>
    <definedName name="ibb14_name">'ALL STREET IN OPERA'!$C$780</definedName>
    <definedName name="ibb14_total">'ALL STREET IN OPERA'!$T$789</definedName>
    <definedName name="ibb16_name">'ALL STREET IN OPERA'!$C$801</definedName>
    <definedName name="ibb16_total">'ALL STREET IN OPERA'!$T$807</definedName>
    <definedName name="ibb16A_name">'ALL STREET IN OPERA'!$C$810</definedName>
    <definedName name="ibb16A_total">'ALL STREET IN OPERA'!$T$816</definedName>
    <definedName name="ibb18f1_name">'ALL STREET IN OPERA'!$C$852</definedName>
    <definedName name="ibb18f1_total">'ALL STREET IN OPERA'!$T$859</definedName>
    <definedName name="ibb18f2_name">'ALL STREET IN OPERA'!$C$819</definedName>
    <definedName name="ibb18f2_total">'ALL STREET IN OPERA'!$T$825</definedName>
    <definedName name="ibb18f3_name">'ALL STREET IN OPERA'!$C$828</definedName>
    <definedName name="ibb18f3_total">'ALL STREET IN OPERA'!$T$839</definedName>
    <definedName name="ibb18f4_name">'ALL STREET IN OPERA'!$C$842</definedName>
    <definedName name="ibb18f4_total">'ALL STREET IN OPERA'!$T$849</definedName>
    <definedName name="ibb20_name">'ALL STREET IN OPERA'!$D$863</definedName>
    <definedName name="ibb20_total">'ALL STREET IN OPERA'!$T$868</definedName>
    <definedName name="ibb21_name">'ALL STREET IN OPERA'!$C$872</definedName>
    <definedName name="ibb21_total">'ALL STREET IN OPERA'!$T$878</definedName>
    <definedName name="ibb21a_name">'ALL STREET IN OPERA'!$D$881</definedName>
    <definedName name="ibb21a_total">'ALL STREET IN OPERA'!$T$887</definedName>
    <definedName name="ibb21b_name">'ALL STREET IN OPERA'!$D$901</definedName>
    <definedName name="ibb21B_total">'ALL STREET IN OPERA'!$T$907</definedName>
    <definedName name="ibb21c_name">'ALL STREET IN OPERA'!$C$891</definedName>
    <definedName name="ibb21c_total">'ALL STREET IN OPERA'!$T$898</definedName>
    <definedName name="ibb23b_name">'ALL STREET IN OPERA'!$C$912</definedName>
    <definedName name="ibb23b_total">'ALL STREET IN OPERA'!$T$919</definedName>
    <definedName name="ibb23c_name">'ALL STREET IN OPERA'!$C$923</definedName>
    <definedName name="ibb23c_total">'ALL STREET IN OPERA'!$T$929</definedName>
    <definedName name="ibb25_name">'ALL STREET IN OPERA'!$C$932</definedName>
    <definedName name="ibb25_total">'ALL STREET IN OPERA'!$T$938</definedName>
    <definedName name="ibb26f1_name">'ALL STREET IN OPERA'!$C$941</definedName>
    <definedName name="ibb26f1_total">'ALL STREET IN OPERA'!$T$949</definedName>
    <definedName name="ibb26f2_name">'ALL STREET IN OPERA'!$C$952</definedName>
    <definedName name="ibb26f2_total">'ALL STREET IN OPERA'!$T$959</definedName>
    <definedName name="ibb26f3_name">'ALL STREET IN OPERA'!$D$962</definedName>
    <definedName name="ibb26f3_total">'ALL STREET IN OPERA'!$T$969</definedName>
    <definedName name="ibb26f4_name">'ALL STREET IN OPERA'!$C$972</definedName>
    <definedName name="ibb26f4_total">'ALL STREET IN OPERA'!$T$979</definedName>
    <definedName name="ibb27_name">'ALL STREET IN OPERA'!$C$982</definedName>
    <definedName name="ibb27_total">'ALL STREET IN OPERA'!$T$993</definedName>
    <definedName name="ibb27b_name">'ALL STREET IN OPERA'!$C$997</definedName>
    <definedName name="ibb27b_total">'ALL STREET IN OPERA'!$T$1007</definedName>
    <definedName name="ibb29a_name">'ALL STREET IN OPERA'!$C$1010</definedName>
    <definedName name="ibb29a_total">'ALL STREET IN OPERA'!$T$1017</definedName>
    <definedName name="ibb29abq_name">'ALL STREET IN OPERA'!$D$1020</definedName>
    <definedName name="ibb29abq_total">'ALL STREET IN OPERA'!$T$1027</definedName>
    <definedName name="ibb29b_name">'ALL STREET IN OPERA'!$C$1030</definedName>
    <definedName name="ibb29b_total">'ALL STREET IN OPERA'!$T$1038</definedName>
    <definedName name="ibb3?f?_name">'ALL STREET IN OPERA'!$C$695</definedName>
    <definedName name="ibb3?f?_total">'ALL STREET IN OPERA'!$T$701</definedName>
    <definedName name="ibb30_name">'ALL STREET IN OPERA'!$C$1041</definedName>
    <definedName name="ibb30_total">'ALL STREET IN OPERA'!$T$1046</definedName>
    <definedName name="ibb30f1_name">'ALL STREET IN OPERA'!$C$1049</definedName>
    <definedName name="ibb30f1_total">'ALL STREET IN OPERA'!$T$1060</definedName>
    <definedName name="ibb30f4_name">'ALL STREET IN OPERA'!$D$1062</definedName>
    <definedName name="ibb30f4_total">'ALL STREET IN OPERA'!$T$1070</definedName>
    <definedName name="ibb31f1_name">'ALL STREET IN OPERA'!$C$1073</definedName>
    <definedName name="ibb31f1_total">'ALL STREET IN OPERA'!$T$1079</definedName>
    <definedName name="ibb31f2_name">'ALL STREET IN OPERA'!$C$1082</definedName>
    <definedName name="ibb31f2_total">'ALL STREET IN OPERA'!$T$1089</definedName>
    <definedName name="ibb31f3_name">'ALL STREET IN OPERA'!$C$1093</definedName>
    <definedName name="ibb31f3_total">'ALL STREET IN OPERA'!$T$1099</definedName>
    <definedName name="ibb31f4_name">'ALL STREET IN OPERA'!$C$1102</definedName>
    <definedName name="ibb31f4_total">'ALL STREET IN OPERA'!$T$1109</definedName>
    <definedName name="ibb32?_name">'ALL STREET IN OPERA'!$C$1112</definedName>
    <definedName name="ibb32?_total">'ALL STREET IN OPERA'!$T$1123</definedName>
    <definedName name="ibb32_name">'ALL STREET IN OPERA'!$C$1141</definedName>
    <definedName name="ibb32_total">'ALL STREET IN OPERA'!$T$1152</definedName>
    <definedName name="ibb33_name">'ALL STREET IN OPERA'!$C$1126</definedName>
    <definedName name="ibb33_total">'ALL STREET IN OPERA'!$T$1137</definedName>
    <definedName name="ibb34_name">'ALL STREET IN OPERA'!$C$1156</definedName>
    <definedName name="ibb34_total">'ALL STREET IN OPERA'!$T$1163</definedName>
    <definedName name="ibb36a_name">'ALL STREET IN OPERA'!$D$1166</definedName>
    <definedName name="ibb36a_total">'ALL STREET IN OPERA'!$T$1173</definedName>
    <definedName name="ibb36b_name">'ALL STREET IN OPERA'!$C$1176</definedName>
    <definedName name="ibb36b_total">'ALL STREET IN OPERA'!$T$1187</definedName>
    <definedName name="ibb38_name">'ALL STREET IN OPERA'!$C$1191</definedName>
    <definedName name="ibb38_total">'ALL STREET IN OPERA'!$T$1199</definedName>
    <definedName name="ibb3af1_name">'ALL STREET IN OPERA'!$C$646</definedName>
    <definedName name="ibb3af1_total">'ALL STREET IN OPERA'!$T$650</definedName>
    <definedName name="ibb3af2_name">'ALL STREET IN OPERA'!$C$656</definedName>
    <definedName name="ibb3af2_total">'ALL STREET IN OPERA'!$T$662</definedName>
    <definedName name="ibb3af3_name">'ALL STREET IN OPERA'!$C$665</definedName>
    <definedName name="ibb3af3_total">'ALL STREET IN OPERA'!$T$672</definedName>
    <definedName name="ibb3af4_name">'ALL STREET IN OPERA'!$C$675</definedName>
    <definedName name="ibb3af4_total">'ALL STREET IN OPERA'!$T$682</definedName>
    <definedName name="ibb5_name">'ALL STREET IN OPERA'!$C$704</definedName>
    <definedName name="ibb5_total">'ALL STREET IN OPERA'!$T$711</definedName>
    <definedName name="ibb7_name">'ALL STREET IN OPERA'!$C$714</definedName>
    <definedName name="ibb7_total">'ALL STREET IN OPERA'!$T$720</definedName>
    <definedName name="ibb8_name">'ALL STREET IN OPERA'!#REF!</definedName>
    <definedName name="ibb8_total">'ALL STREET IN OPERA'!#REF!</definedName>
    <definedName name="ibb9_name">'ALL STREET IN OPERA'!$D$733</definedName>
    <definedName name="ibb9_total">'ALL STREET IN OPERA'!$T$740</definedName>
    <definedName name="koa10f1_name">'ALL STREET IN OPERA'!$C$1915</definedName>
    <definedName name="koa10f1_total">'ALL STREET IN OPERA'!$T$1921</definedName>
    <definedName name="koa10f2_name">'ALL STREET IN OPERA'!$C$1925</definedName>
    <definedName name="koa10f2_total">'ALL STREET IN OPERA'!$T$1931</definedName>
    <definedName name="koa10f3_name">'ALL STREET IN OPERA'!$C$1887</definedName>
    <definedName name="koa10f3_total">'ALL STREET IN OPERA'!$T$1893</definedName>
    <definedName name="koa10f4_name">'ALL STREET IN OPERA'!$D$1896</definedName>
    <definedName name="koa10f4_total">'ALL STREET IN OPERA'!$T$1902</definedName>
    <definedName name="koa10f5_name">'ALL STREET IN OPERA'!$C$1872</definedName>
    <definedName name="koa10f5_total">'ALL STREET IN OPERA'!$T$1883</definedName>
    <definedName name="koa10f6_name">'ALL STREET IN OPERA'!$C$1863</definedName>
    <definedName name="koa10f6_total">'ALL STREET IN OPERA'!$T$1869</definedName>
    <definedName name="koa13a_name">'ALL STREET IN OPERA'!$C$1934</definedName>
    <definedName name="koa13a_total">'ALL STREET IN OPERA'!$T$1945</definedName>
    <definedName name="koa13b_name">'ALL STREET IN OPERA'!$C$1948</definedName>
    <definedName name="koa13b_total">'ALL STREET IN OPERA'!$T$1959</definedName>
    <definedName name="koa15_name">'ALL STREET IN OPERA'!$C$1963</definedName>
    <definedName name="koa15_total">'ALL STREET IN OPERA'!$T$1975</definedName>
    <definedName name="koa15f1_name">'ALL STREET IN OPERA'!$C$1978</definedName>
    <definedName name="koa15f1_total">'ALL STREET IN OPERA'!$T$1984</definedName>
    <definedName name="koa15f2_name">'ALL STREET IN OPERA'!$C$1987</definedName>
    <definedName name="koa15f2_total">'ALL STREET IN OPERA'!$T$1991</definedName>
    <definedName name="koa15f3_name">'ALL STREET IN OPERA'!$C$1994</definedName>
    <definedName name="koa15f3_total">'ALL STREET IN OPERA'!$T$1996</definedName>
    <definedName name="koa16_name">'ALL STREET IN OPERA'!$D$1999</definedName>
    <definedName name="koa16_total">'ALL STREET IN OPERA'!$T$2010</definedName>
    <definedName name="koa17_name">'ALL STREET IN OPERA'!$C$2053</definedName>
    <definedName name="koa17_total">'ALL STREET IN OPERA'!$T$2057</definedName>
    <definedName name="koa17b_name">'ALL STREET IN OPERA'!$C$2071</definedName>
    <definedName name="koa17b_total">'ALL STREET IN OPERA'!$T$2075</definedName>
    <definedName name="koa17bq_name">'ALL STREET IN OPERA'!$C$2061</definedName>
    <definedName name="koa17bq_total">'ALL STREET IN OPERA'!$T$2067</definedName>
    <definedName name="koa17f1_name">'ALL STREET IN OPERA'!$C$2013</definedName>
    <definedName name="koa17f1_total">'ALL STREET IN OPERA'!$T$2020</definedName>
    <definedName name="koa17f2_name">'ALL STREET IN OPERA'!$D$2023</definedName>
    <definedName name="koa17f2_total">'ALL STREET IN OPERA'!$T$2028</definedName>
    <definedName name="koa17f3_name">'ALL STREET IN OPERA'!$D$2031</definedName>
    <definedName name="koa17f3_total">'ALL STREET IN OPERA'!$T$2039</definedName>
    <definedName name="koa17f4_name">'ALL STREET IN OPERA'!$C$2042</definedName>
    <definedName name="koa18a_name">'ALL STREET IN OPERA'!$C$2078</definedName>
    <definedName name="koa18a_total">'ALL STREET IN OPERA'!$T$2084</definedName>
    <definedName name="koa18b_name">'ALL STREET IN OPERA'!$C$2087</definedName>
    <definedName name="koa18b_total">'ALL STREET IN OPERA'!$T$2092</definedName>
    <definedName name="koa18f1_name">'ALL STREET IN OPERA'!$C$2096</definedName>
    <definedName name="koa18f1_total">'ALL STREET IN OPERA'!$T$2103</definedName>
    <definedName name="koa18f2_name">'ALL STREET IN OPERA'!$D$2106</definedName>
    <definedName name="koa18f2_total">'ALL STREET IN OPERA'!$T$2113</definedName>
    <definedName name="koa19a1_name">'ALL STREET IN OPERA'!$C$2116</definedName>
    <definedName name="koa19a1_total">'ALL STREET IN OPERA'!$T$2122</definedName>
    <definedName name="koa19a2_name">'ALL STREET IN OPERA'!$C$2126</definedName>
    <definedName name="koa19a2_total">'ALL STREET IN OPERA'!$T$2132</definedName>
    <definedName name="koa19b_name">'ALL STREET IN OPERA'!$C$2137</definedName>
    <definedName name="koa19b_total">'ALL STREET IN OPERA'!$T$2145</definedName>
    <definedName name="koa1a_name">'ALL STREET IN OPERA'!$D$1710</definedName>
    <definedName name="koa1a_total">'ALL STREET IN OPERA'!$T$1716</definedName>
    <definedName name="koa1b_name">'ALL STREET IN OPERA'!$C$1719</definedName>
    <definedName name="koa1b_total">'ALL STREET IN OPERA'!$T$1725</definedName>
    <definedName name="koa2_name">'ALL STREET IN OPERA'!$C$1729</definedName>
    <definedName name="koa2_total">'ALL STREET IN OPERA'!$T$1737</definedName>
    <definedName name="koa3a_name">'ALL STREET IN OPERA'!$C$1740</definedName>
    <definedName name="koa3a_total">'ALL STREET IN OPERA'!$T$1747</definedName>
    <definedName name="koa3b_name">'ALL STREET IN OPERA'!$C$1750</definedName>
    <definedName name="koa3b_total">'ALL STREET IN OPERA'!$T$1756</definedName>
    <definedName name="koa3c_name">'ALL STREET IN OPERA'!$C$1759</definedName>
    <definedName name="koa3c_total">'ALL STREET IN OPERA'!$T$1765</definedName>
    <definedName name="koa4_name">'ALL STREET IN OPERA'!$C$1768</definedName>
    <definedName name="koa4_total">'ALL STREET IN OPERA'!$T$1776</definedName>
    <definedName name="koa5_name">'ALL STREET IN OPERA'!$C$1784</definedName>
    <definedName name="koa5_total">'ALL STREET IN OPERA'!$T$1792</definedName>
    <definedName name="koa6_name">'ALL STREET IN OPERA'!$C$1795</definedName>
    <definedName name="koa6_total">'ALL STREET IN OPERA'!$T$1804</definedName>
    <definedName name="koa7_name">'ALL STREET IN OPERA'!$C$1807</definedName>
    <definedName name="koa7_total">'ALL STREET IN OPERA'!$T$1813</definedName>
    <definedName name="koa7a_name">'ALL STREET IN OPERA'!$C$1817</definedName>
    <definedName name="koa7a_total">'ALL STREET IN OPERA'!$T$1828</definedName>
    <definedName name="koa8_name">'ALL STREET IN OPERA'!$C$1831</definedName>
    <definedName name="koa8_total">'ALL STREET IN OPERA'!$T$1842</definedName>
    <definedName name="koa9_name">'ALL STREET IN OPERA'!$C$1849</definedName>
    <definedName name="koa9_total">'ALL STREET IN OPERA'!$T$1860</definedName>
    <definedName name="ojok11f2_name">'ALL STREET IN OPERA'!$C$104</definedName>
    <definedName name="ojok11f2_total">'ALL STREET IN OPERA'!$T$113</definedName>
    <definedName name="ojok11f3_name">'ALL STREET IN OPERA'!$C$116</definedName>
    <definedName name="ojok11f3_total">'ALL STREET IN OPERA'!$T$122</definedName>
    <definedName name="ojok11f4_name">'ALL STREET IN OPERA'!$C$125</definedName>
    <definedName name="ojok11f4_total">'ALL STREET IN OPERA'!$T$132</definedName>
    <definedName name="ojok11f4b_name">'ALL STREET IN OPERA'!$C$135</definedName>
    <definedName name="ojok11f4b_total">'ALL STREET IN OPERA'!$T$141</definedName>
    <definedName name="ojok12_name">'ALL STREET IN OPERA'!$D$144</definedName>
    <definedName name="ojok12_total">'ALL STREET IN OPERA'!$T$155</definedName>
    <definedName name="ojok12bq_name">'ALL STREET IN OPERA'!$D$159</definedName>
    <definedName name="ojok12bq_total">'ALL STREET IN OPERA'!$T$165</definedName>
    <definedName name="ojok12f1_name">'ALL STREET IN OPERA'!$C$169</definedName>
    <definedName name="ojok12f1_total">'ALL STREET IN OPERA'!$T$174</definedName>
    <definedName name="ojok12f2_name">'ALL STREET IN OPERA'!$D$178</definedName>
    <definedName name="ojok12f2_total">'ALL STREET IN OPERA'!$T$183</definedName>
    <definedName name="ojok12f3_name">'ALL STREET IN OPERA'!$C$186</definedName>
    <definedName name="ojok12f3_total">'ALL STREET IN OPERA'!$T$194</definedName>
    <definedName name="ojok12f4_name">'ALL STREET IN OPERA'!$C$197</definedName>
    <definedName name="ojok12f4_total">'ALL STREET IN OPERA'!$T$205</definedName>
    <definedName name="ojok14_name">'ALL STREET IN OPERA'!$C$209</definedName>
    <definedName name="ojok14_total">'ALL STREET IN OPERA'!$T$220</definedName>
    <definedName name="ojok14a_name">'ALL STREET IN OPERA'!$D$225</definedName>
    <definedName name="ojok14a_total">'ALL STREET IN OPERA'!$T$236</definedName>
    <definedName name="ojok15f1_name">'ALL STREET IN OPERA'!$C$239</definedName>
    <definedName name="ojok15f1_total">'ALL STREET IN OPERA'!$T$250</definedName>
    <definedName name="ojok15f2_name">'ALL STREET IN OPERA'!$C$253</definedName>
    <definedName name="ojok15f2_total">'ALL STREET IN OPERA'!$T$262</definedName>
    <definedName name="ojok15f3_name">'ALL STREET IN OPERA'!$C$265</definedName>
    <definedName name="ojok15f3_total">'ALL STREET IN OPERA'!$T$269</definedName>
    <definedName name="ojok15f4_name">'ALL STREET IN OPERA'!$C$274</definedName>
    <definedName name="ojok15f4_total">'ALL STREET IN OPERA'!$T$282</definedName>
    <definedName name="ojok16a_name">'ALL STREET IN OPERA'!$C$286</definedName>
    <definedName name="ojok16a_total">'ALL STREET IN OPERA'!$T$289</definedName>
    <definedName name="ojok16b_name">'ALL STREET IN OPERA'!$C$292</definedName>
    <definedName name="ojok16b_total">'ALL STREET IN OPERA'!$T$298</definedName>
    <definedName name="ojok16c_name">'ALL STREET IN OPERA'!$C$301</definedName>
    <definedName name="ojok16c_total">'ALL STREET IN OPERA'!$T$306</definedName>
    <definedName name="ojok16d_name">'ALL STREET IN OPERA'!$C$309</definedName>
    <definedName name="ojok16d_total">'ALL STREET IN OPERA'!$T$315</definedName>
    <definedName name="ojok16e_name">'ALL STREET IN OPERA'!$C$318</definedName>
    <definedName name="ojok16e_total">'ALL STREET IN OPERA'!$T$324</definedName>
    <definedName name="ojok16f_name">'ALL STREET IN OPERA'!$C$327</definedName>
    <definedName name="ojok16f_total">'ALL STREET IN OPERA'!$T$333</definedName>
    <definedName name="ojok17_name">'ALL STREET IN OPERA'!$C$337</definedName>
    <definedName name="ojok17_total">'ALL STREET IN OPERA'!$T$348</definedName>
    <definedName name="ojok18b_name">'ALL STREET IN OPERA'!$C$352</definedName>
    <definedName name="ojok18b_total">'ALL STREET IN OPERA'!$T$360</definedName>
    <definedName name="ojok19_name">'ALL STREET IN OPERA'!$D$367</definedName>
    <definedName name="ojok19_total">'ALL STREET IN OPERA'!$T$378</definedName>
    <definedName name="ojok2_name">'ALL STREET IN OPERA'!$C$16</definedName>
    <definedName name="ojok2_total">'ALL STREET IN OPERA'!$T$27</definedName>
    <definedName name="ojok20_name">'ALL STREET IN OPERA'!$D$381</definedName>
    <definedName name="ojok20_total">'ALL STREET IN OPERA'!$T$392</definedName>
    <definedName name="ojok20bq_name">'ALL STREET IN OPERA'!$C$395</definedName>
    <definedName name="ojok20bq_total">'ALL STREET IN OPERA'!$T$404</definedName>
    <definedName name="ojok20f1_name">'ALL STREET IN OPERA'!$D$407</definedName>
    <definedName name="ojok20f1_total">'ALL STREET IN OPERA'!$T$418</definedName>
    <definedName name="ojok20f2_name">'ALL STREET IN OPERA'!$D$422</definedName>
    <definedName name="ojok20f2_total">'ALL STREET IN OPERA'!$T$429</definedName>
    <definedName name="ojok21_name">'ALL STREET IN OPERA'!$D$432</definedName>
    <definedName name="ojok21_total">'ALL STREET IN OPERA'!$T$439</definedName>
    <definedName name="ojok22_name">'ALL STREET IN OPERA'!$C$442</definedName>
    <definedName name="ojok22_total">'ALL STREET IN OPERA'!$T$453</definedName>
    <definedName name="ojok22f1_name">'ALL STREET IN OPERA'!$C$456</definedName>
    <definedName name="ojok22f1_total">'ALL STREET IN OPERA'!$T$464</definedName>
    <definedName name="ojok22f1b_name">'ALL STREET IN OPERA'!$C$495</definedName>
    <definedName name="ojok22f1b_total">'ALL STREET IN OPERA'!$T$502</definedName>
    <definedName name="ojok22f2_name">'ALL STREET IN OPERA'!$D$467</definedName>
    <definedName name="ojok22f2_total">'ALL STREET IN OPERA'!$T$475</definedName>
    <definedName name="ojok22f3_name">'ALL STREET IN OPERA'!$C$478</definedName>
    <definedName name="ojok22f3_total">'ALL STREET IN OPERA'!$T$482</definedName>
    <definedName name="ojok22f4_name">'ALL STREET IN OPERA'!$C$485</definedName>
    <definedName name="ojok22f4_total">'ALL STREET IN OPERA'!$T$492</definedName>
    <definedName name="ojok23_name">'ALL STREET IN OPERA'!$C$507</definedName>
    <definedName name="ojok23_total">'ALL STREET IN OPERA'!$T$514</definedName>
    <definedName name="ojok4_name">'ALL STREET IN OPERA'!$C$30</definedName>
    <definedName name="ojok4_total">'ALL STREET IN OPERA'!$T$38</definedName>
    <definedName name="ojok6_name">'ALL STREET IN OPERA'!$C$41</definedName>
    <definedName name="ojok6_total">'ALL STREET IN OPERA'!$T$48</definedName>
    <definedName name="ojok8_name">'ALL STREET IN OPERA'!$C$60</definedName>
    <definedName name="ojok8_total">'ALL STREET IN OPERA'!$T$71</definedName>
    <definedName name="ojok9a_name">'ALL STREET IN OPERA'!$C$74</definedName>
    <definedName name="ojok9a_total">'ALL STREET IN OPERA'!$T$80</definedName>
    <definedName name="ojok9b_name">'ALL STREET IN OPERA'!$C$83</definedName>
    <definedName name="ojok9b_total">'ALL STREET IN OPERA'!$T$90</definedName>
    <definedName name="ojok9c_name">'ALL STREET IN OPERA'!$C$93</definedName>
    <definedName name="ojok9c_total">'ALL STREET IN OPERA'!$T$99</definedName>
    <definedName name="_xlnm.Print_Area" localSheetId="0">'ALL STREET IN OPERA'!$A$1:$T$2146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140" i="1" l="1"/>
  <c r="S2139" i="1"/>
  <c r="T2139" i="1" s="1"/>
  <c r="T2138" i="1"/>
  <c r="S2138" i="1"/>
  <c r="T2137" i="1"/>
  <c r="T2145" i="1" s="1"/>
  <c r="S2137" i="1"/>
  <c r="S2145" i="1" s="1"/>
  <c r="T2127" i="1"/>
  <c r="T2132" i="1" s="1"/>
  <c r="S2126" i="1"/>
  <c r="S2132" i="1" s="1"/>
  <c r="S2122" i="1"/>
  <c r="T2117" i="1"/>
  <c r="T2122" i="1" s="1"/>
  <c r="S2116" i="1"/>
  <c r="S2109" i="1"/>
  <c r="T2109" i="1" s="1"/>
  <c r="T2108" i="1"/>
  <c r="S2108" i="1"/>
  <c r="T2107" i="1"/>
  <c r="S2107" i="1"/>
  <c r="S2106" i="1"/>
  <c r="T2106" i="1" s="1"/>
  <c r="D2106" i="1"/>
  <c r="S2103" i="1"/>
  <c r="S2099" i="1"/>
  <c r="T2099" i="1" s="1"/>
  <c r="T2098" i="1"/>
  <c r="S2098" i="1"/>
  <c r="S2097" i="1"/>
  <c r="T2097" i="1" s="1"/>
  <c r="S2096" i="1"/>
  <c r="T2096" i="1" s="1"/>
  <c r="S2092" i="1"/>
  <c r="T2088" i="1"/>
  <c r="S2088" i="1"/>
  <c r="S2087" i="1"/>
  <c r="T2087" i="1" s="1"/>
  <c r="T2092" i="1" s="1"/>
  <c r="S2083" i="1"/>
  <c r="T2083" i="1" s="1"/>
  <c r="T2082" i="1"/>
  <c r="S2082" i="1"/>
  <c r="S2081" i="1"/>
  <c r="T2081" i="1" s="1"/>
  <c r="S2080" i="1"/>
  <c r="T2080" i="1" s="1"/>
  <c r="S2079" i="1"/>
  <c r="T2079" i="1" s="1"/>
  <c r="T2078" i="1"/>
  <c r="S2078" i="1"/>
  <c r="S2072" i="1"/>
  <c r="S2071" i="1"/>
  <c r="T2071" i="1" s="1"/>
  <c r="S2064" i="1"/>
  <c r="T2064" i="1" s="1"/>
  <c r="S2063" i="1"/>
  <c r="T2063" i="1" s="1"/>
  <c r="S2062" i="1"/>
  <c r="T2062" i="1" s="1"/>
  <c r="T2061" i="1"/>
  <c r="T2067" i="1" s="1"/>
  <c r="S2061" i="1"/>
  <c r="S2067" i="1" s="1"/>
  <c r="S2054" i="1"/>
  <c r="T2054" i="1" s="1"/>
  <c r="S2053" i="1"/>
  <c r="S2049" i="1"/>
  <c r="S2048" i="1"/>
  <c r="S2047" i="1"/>
  <c r="T2047" i="1" s="1"/>
  <c r="S2046" i="1"/>
  <c r="T2046" i="1" s="1"/>
  <c r="T2045" i="1"/>
  <c r="S2045" i="1"/>
  <c r="S2044" i="1"/>
  <c r="T2044" i="1" s="1"/>
  <c r="S2043" i="1"/>
  <c r="T2043" i="1" s="1"/>
  <c r="S2042" i="1"/>
  <c r="S2033" i="1"/>
  <c r="T2033" i="1" s="1"/>
  <c r="S2032" i="1"/>
  <c r="T2032" i="1" s="1"/>
  <c r="S2031" i="1"/>
  <c r="D2031" i="1"/>
  <c r="S2027" i="1"/>
  <c r="T2027" i="1" s="1"/>
  <c r="T2026" i="1"/>
  <c r="S2026" i="1"/>
  <c r="T2025" i="1"/>
  <c r="S2025" i="1"/>
  <c r="S2024" i="1"/>
  <c r="T2024" i="1" s="1"/>
  <c r="S2023" i="1"/>
  <c r="S2028" i="1" s="1"/>
  <c r="D2023" i="1"/>
  <c r="T2019" i="1"/>
  <c r="S2019" i="1"/>
  <c r="S2018" i="1"/>
  <c r="T2018" i="1" s="1"/>
  <c r="S2017" i="1"/>
  <c r="T2017" i="1" s="1"/>
  <c r="S2016" i="1"/>
  <c r="T2016" i="1" s="1"/>
  <c r="T2015" i="1"/>
  <c r="S2015" i="1"/>
  <c r="S2014" i="1"/>
  <c r="T2014" i="1" s="1"/>
  <c r="S2013" i="1"/>
  <c r="T2013" i="1" s="1"/>
  <c r="T2009" i="1"/>
  <c r="S2009" i="1"/>
  <c r="S2008" i="1"/>
  <c r="T2008" i="1" s="1"/>
  <c r="S2007" i="1"/>
  <c r="T2007" i="1" s="1"/>
  <c r="S2006" i="1"/>
  <c r="T2006" i="1" s="1"/>
  <c r="T2005" i="1"/>
  <c r="S2005" i="1"/>
  <c r="S2004" i="1"/>
  <c r="T2004" i="1" s="1"/>
  <c r="S2003" i="1"/>
  <c r="S2002" i="1"/>
  <c r="T2002" i="1" s="1"/>
  <c r="T2001" i="1"/>
  <c r="S2001" i="1"/>
  <c r="S2000" i="1"/>
  <c r="T2000" i="1" s="1"/>
  <c r="S1999" i="1"/>
  <c r="T1999" i="1" s="1"/>
  <c r="D1999" i="1"/>
  <c r="T1996" i="1"/>
  <c r="S1996" i="1"/>
  <c r="S1994" i="1"/>
  <c r="T1994" i="1" s="1"/>
  <c r="S1991" i="1"/>
  <c r="T1988" i="1"/>
  <c r="S1988" i="1"/>
  <c r="T1987" i="1"/>
  <c r="T1991" i="1" s="1"/>
  <c r="S1987" i="1"/>
  <c r="S1978" i="1"/>
  <c r="S1984" i="1" s="1"/>
  <c r="T1974" i="1"/>
  <c r="S1974" i="1"/>
  <c r="S1973" i="1"/>
  <c r="T1973" i="1" s="1"/>
  <c r="S1972" i="1"/>
  <c r="T1972" i="1" s="1"/>
  <c r="T1971" i="1"/>
  <c r="S1971" i="1"/>
  <c r="T1970" i="1"/>
  <c r="S1970" i="1"/>
  <c r="S1969" i="1"/>
  <c r="T1969" i="1" s="1"/>
  <c r="S1968" i="1"/>
  <c r="T1968" i="1" s="1"/>
  <c r="T1967" i="1"/>
  <c r="S1967" i="1"/>
  <c r="T1966" i="1"/>
  <c r="S1966" i="1"/>
  <c r="S1965" i="1"/>
  <c r="T1965" i="1" s="1"/>
  <c r="S1964" i="1"/>
  <c r="T1964" i="1" s="1"/>
  <c r="S1963" i="1"/>
  <c r="S1975" i="1" s="1"/>
  <c r="S1958" i="1"/>
  <c r="T1958" i="1" s="1"/>
  <c r="S1957" i="1"/>
  <c r="T1957" i="1" s="1"/>
  <c r="T1956" i="1"/>
  <c r="S1956" i="1"/>
  <c r="T1955" i="1"/>
  <c r="S1955" i="1"/>
  <c r="S1954" i="1"/>
  <c r="T1954" i="1" s="1"/>
  <c r="S1953" i="1"/>
  <c r="T1953" i="1" s="1"/>
  <c r="T1952" i="1"/>
  <c r="S1952" i="1"/>
  <c r="T1951" i="1"/>
  <c r="S1951" i="1"/>
  <c r="S1950" i="1"/>
  <c r="T1950" i="1" s="1"/>
  <c r="S1949" i="1"/>
  <c r="S1959" i="1" s="1"/>
  <c r="T1948" i="1"/>
  <c r="S1948" i="1"/>
  <c r="S1944" i="1"/>
  <c r="T1944" i="1" s="1"/>
  <c r="S1943" i="1"/>
  <c r="T1943" i="1" s="1"/>
  <c r="T1942" i="1"/>
  <c r="S1942" i="1"/>
  <c r="T1941" i="1"/>
  <c r="S1941" i="1"/>
  <c r="S1940" i="1"/>
  <c r="T1940" i="1" s="1"/>
  <c r="S1939" i="1"/>
  <c r="T1939" i="1" s="1"/>
  <c r="T1938" i="1"/>
  <c r="S1938" i="1"/>
  <c r="T1937" i="1"/>
  <c r="S1937" i="1"/>
  <c r="S1936" i="1"/>
  <c r="T1936" i="1" s="1"/>
  <c r="S1935" i="1"/>
  <c r="S1945" i="1" s="1"/>
  <c r="T1934" i="1"/>
  <c r="S1934" i="1"/>
  <c r="S1926" i="1"/>
  <c r="T1926" i="1" s="1"/>
  <c r="S1925" i="1"/>
  <c r="S1931" i="1" s="1"/>
  <c r="T1921" i="1"/>
  <c r="T1920" i="1"/>
  <c r="S1920" i="1"/>
  <c r="S1919" i="1"/>
  <c r="T1919" i="1" s="1"/>
  <c r="S1918" i="1"/>
  <c r="T1918" i="1" s="1"/>
  <c r="T1917" i="1"/>
  <c r="S1917" i="1"/>
  <c r="T1916" i="1"/>
  <c r="S1916" i="1"/>
  <c r="S1921" i="1" s="1"/>
  <c r="S1915" i="1"/>
  <c r="T1915" i="1" s="1"/>
  <c r="S1911" i="1"/>
  <c r="T1905" i="1"/>
  <c r="T1911" i="1" s="1"/>
  <c r="S1905" i="1"/>
  <c r="S1900" i="1"/>
  <c r="T1900" i="1" s="1"/>
  <c r="S1899" i="1"/>
  <c r="T1899" i="1" s="1"/>
  <c r="T1898" i="1"/>
  <c r="S1898" i="1"/>
  <c r="T1897" i="1"/>
  <c r="S1897" i="1"/>
  <c r="S1902" i="1" s="1"/>
  <c r="S1896" i="1"/>
  <c r="T1896" i="1" s="1"/>
  <c r="D1896" i="1"/>
  <c r="S1893" i="1"/>
  <c r="S1892" i="1"/>
  <c r="T1892" i="1" s="1"/>
  <c r="T1891" i="1"/>
  <c r="S1891" i="1"/>
  <c r="S1890" i="1"/>
  <c r="T1890" i="1" s="1"/>
  <c r="S1889" i="1"/>
  <c r="T1889" i="1" s="1"/>
  <c r="S1888" i="1"/>
  <c r="T1888" i="1" s="1"/>
  <c r="T1887" i="1"/>
  <c r="S1887" i="1"/>
  <c r="S1882" i="1"/>
  <c r="T1882" i="1" s="1"/>
  <c r="S1881" i="1"/>
  <c r="T1881" i="1" s="1"/>
  <c r="T1880" i="1"/>
  <c r="S1880" i="1"/>
  <c r="S1879" i="1"/>
  <c r="T1879" i="1" s="1"/>
  <c r="S1878" i="1"/>
  <c r="T1878" i="1" s="1"/>
  <c r="P1878" i="1"/>
  <c r="T1877" i="1"/>
  <c r="S1877" i="1"/>
  <c r="S1876" i="1"/>
  <c r="T1876" i="1" s="1"/>
  <c r="S1875" i="1"/>
  <c r="T1875" i="1" s="1"/>
  <c r="T1874" i="1"/>
  <c r="S1874" i="1"/>
  <c r="T1873" i="1"/>
  <c r="S1873" i="1"/>
  <c r="S1872" i="1"/>
  <c r="T1872" i="1" s="1"/>
  <c r="T1866" i="1"/>
  <c r="S1866" i="1"/>
  <c r="T1865" i="1"/>
  <c r="S1865" i="1"/>
  <c r="S1864" i="1"/>
  <c r="T1864" i="1" s="1"/>
  <c r="S1863" i="1"/>
  <c r="T1863" i="1" s="1"/>
  <c r="T1859" i="1"/>
  <c r="S1859" i="1"/>
  <c r="S1858" i="1"/>
  <c r="T1858" i="1" s="1"/>
  <c r="S1857" i="1"/>
  <c r="T1857" i="1" s="1"/>
  <c r="T1856" i="1"/>
  <c r="S1856" i="1"/>
  <c r="T1855" i="1"/>
  <c r="S1855" i="1"/>
  <c r="S1854" i="1"/>
  <c r="T1854" i="1" s="1"/>
  <c r="S1853" i="1"/>
  <c r="T1853" i="1" s="1"/>
  <c r="T1852" i="1"/>
  <c r="S1852" i="1"/>
  <c r="T1851" i="1"/>
  <c r="S1851" i="1"/>
  <c r="S1850" i="1"/>
  <c r="T1850" i="1" s="1"/>
  <c r="S1849" i="1"/>
  <c r="T1849" i="1" s="1"/>
  <c r="T1841" i="1"/>
  <c r="S1841" i="1"/>
  <c r="S1840" i="1"/>
  <c r="T1840" i="1" s="1"/>
  <c r="S1839" i="1"/>
  <c r="T1839" i="1" s="1"/>
  <c r="T1838" i="1"/>
  <c r="S1838" i="1"/>
  <c r="T1837" i="1"/>
  <c r="S1837" i="1"/>
  <c r="S1836" i="1"/>
  <c r="T1836" i="1" s="1"/>
  <c r="S1835" i="1"/>
  <c r="T1835" i="1" s="1"/>
  <c r="T1834" i="1"/>
  <c r="S1834" i="1"/>
  <c r="T1833" i="1"/>
  <c r="S1833" i="1"/>
  <c r="S1832" i="1"/>
  <c r="T1832" i="1" s="1"/>
  <c r="S1831" i="1"/>
  <c r="T1831" i="1" s="1"/>
  <c r="T1842" i="1" s="1"/>
  <c r="T1827" i="1"/>
  <c r="S1827" i="1"/>
  <c r="S1826" i="1"/>
  <c r="T1826" i="1" s="1"/>
  <c r="S1825" i="1"/>
  <c r="T1825" i="1" s="1"/>
  <c r="T1824" i="1"/>
  <c r="S1824" i="1"/>
  <c r="T1823" i="1"/>
  <c r="S1823" i="1"/>
  <c r="S1822" i="1"/>
  <c r="T1822" i="1" s="1"/>
  <c r="S1821" i="1"/>
  <c r="T1821" i="1" s="1"/>
  <c r="T1820" i="1"/>
  <c r="S1820" i="1"/>
  <c r="T1819" i="1"/>
  <c r="S1819" i="1"/>
  <c r="S1818" i="1"/>
  <c r="T1818" i="1" s="1"/>
  <c r="S1817" i="1"/>
  <c r="T1817" i="1" s="1"/>
  <c r="T1813" i="1"/>
  <c r="S1809" i="1"/>
  <c r="S1813" i="1" s="1"/>
  <c r="T1808" i="1"/>
  <c r="S1808" i="1"/>
  <c r="S1807" i="1"/>
  <c r="T1807" i="1" s="1"/>
  <c r="S1803" i="1"/>
  <c r="T1803" i="1" s="1"/>
  <c r="T1802" i="1"/>
  <c r="S1802" i="1"/>
  <c r="R1801" i="1"/>
  <c r="S1801" i="1" s="1"/>
  <c r="T1801" i="1" s="1"/>
  <c r="G1800" i="1"/>
  <c r="S1800" i="1" s="1"/>
  <c r="T1800" i="1" s="1"/>
  <c r="T1799" i="1"/>
  <c r="S1799" i="1"/>
  <c r="S1798" i="1"/>
  <c r="T1798" i="1" s="1"/>
  <c r="S1797" i="1"/>
  <c r="T1797" i="1" s="1"/>
  <c r="S1796" i="1"/>
  <c r="T1795" i="1"/>
  <c r="S1795" i="1"/>
  <c r="S1788" i="1"/>
  <c r="T1788" i="1" s="1"/>
  <c r="S1787" i="1"/>
  <c r="T1787" i="1" s="1"/>
  <c r="T1786" i="1"/>
  <c r="S1786" i="1"/>
  <c r="S1785" i="1"/>
  <c r="T1785" i="1" s="1"/>
  <c r="S1784" i="1"/>
  <c r="T1775" i="1"/>
  <c r="S1775" i="1"/>
  <c r="S1774" i="1"/>
  <c r="T1774" i="1" s="1"/>
  <c r="S1773" i="1"/>
  <c r="T1773" i="1" s="1"/>
  <c r="S1772" i="1"/>
  <c r="T1772" i="1" s="1"/>
  <c r="T1771" i="1"/>
  <c r="S1771" i="1"/>
  <c r="S1770" i="1"/>
  <c r="T1770" i="1" s="1"/>
  <c r="S1769" i="1"/>
  <c r="T1769" i="1" s="1"/>
  <c r="S1768" i="1"/>
  <c r="T1768" i="1" s="1"/>
  <c r="S1764" i="1"/>
  <c r="T1764" i="1" s="1"/>
  <c r="S1763" i="1"/>
  <c r="T1763" i="1" s="1"/>
  <c r="S1762" i="1"/>
  <c r="T1762" i="1" s="1"/>
  <c r="T1761" i="1"/>
  <c r="S1761" i="1"/>
  <c r="S1760" i="1"/>
  <c r="T1760" i="1" s="1"/>
  <c r="S1759" i="1"/>
  <c r="S1756" i="1"/>
  <c r="T1751" i="1"/>
  <c r="S1751" i="1"/>
  <c r="S1750" i="1"/>
  <c r="T1750" i="1" s="1"/>
  <c r="T1756" i="1" s="1"/>
  <c r="S1746" i="1"/>
  <c r="T1745" i="1"/>
  <c r="S1745" i="1"/>
  <c r="S1744" i="1"/>
  <c r="T1744" i="1" s="1"/>
  <c r="S1743" i="1"/>
  <c r="T1743" i="1" s="1"/>
  <c r="S1742" i="1"/>
  <c r="T1742" i="1" s="1"/>
  <c r="T1741" i="1"/>
  <c r="S1741" i="1"/>
  <c r="S1740" i="1"/>
  <c r="T1740" i="1" s="1"/>
  <c r="S1736" i="1"/>
  <c r="T1736" i="1" s="1"/>
  <c r="T1735" i="1"/>
  <c r="S1735" i="1"/>
  <c r="S1734" i="1"/>
  <c r="T1734" i="1" s="1"/>
  <c r="S1733" i="1"/>
  <c r="T1733" i="1" s="1"/>
  <c r="S1732" i="1"/>
  <c r="T1732" i="1" s="1"/>
  <c r="T1731" i="1"/>
  <c r="S1731" i="1"/>
  <c r="S1730" i="1"/>
  <c r="T1730" i="1" s="1"/>
  <c r="S1729" i="1"/>
  <c r="T1729" i="1" s="1"/>
  <c r="T1722" i="1"/>
  <c r="S1722" i="1"/>
  <c r="S1721" i="1"/>
  <c r="T1721" i="1" s="1"/>
  <c r="S1720" i="1"/>
  <c r="S1719" i="1"/>
  <c r="T1719" i="1" s="1"/>
  <c r="S1713" i="1"/>
  <c r="T1713" i="1" s="1"/>
  <c r="S1712" i="1"/>
  <c r="T1712" i="1" s="1"/>
  <c r="S1711" i="1"/>
  <c r="T1711" i="1" s="1"/>
  <c r="T1710" i="1"/>
  <c r="S1710" i="1"/>
  <c r="S1716" i="1" s="1"/>
  <c r="D1710" i="1"/>
  <c r="T1701" i="1"/>
  <c r="S1701" i="1"/>
  <c r="T1700" i="1"/>
  <c r="S1700" i="1"/>
  <c r="S1699" i="1"/>
  <c r="T1699" i="1" s="1"/>
  <c r="S1698" i="1"/>
  <c r="T1698" i="1" s="1"/>
  <c r="T1697" i="1"/>
  <c r="S1697" i="1"/>
  <c r="T1696" i="1"/>
  <c r="S1696" i="1"/>
  <c r="S1695" i="1"/>
  <c r="T1695" i="1" s="1"/>
  <c r="S1694" i="1"/>
  <c r="T1694" i="1" s="1"/>
  <c r="T1693" i="1"/>
  <c r="S1693" i="1"/>
  <c r="T1692" i="1"/>
  <c r="S1692" i="1"/>
  <c r="S1702" i="1" s="1"/>
  <c r="S1691" i="1"/>
  <c r="T1691" i="1" s="1"/>
  <c r="T1684" i="1"/>
  <c r="S1683" i="1"/>
  <c r="T1682" i="1"/>
  <c r="S1682" i="1"/>
  <c r="T1681" i="1"/>
  <c r="S1681" i="1"/>
  <c r="S1675" i="1"/>
  <c r="T1674" i="1"/>
  <c r="S1674" i="1"/>
  <c r="T1673" i="1"/>
  <c r="S1673" i="1"/>
  <c r="S1672" i="1"/>
  <c r="T1672" i="1" s="1"/>
  <c r="S1669" i="1"/>
  <c r="T1667" i="1"/>
  <c r="S1667" i="1"/>
  <c r="T1666" i="1"/>
  <c r="S1666" i="1"/>
  <c r="S1665" i="1"/>
  <c r="T1665" i="1" s="1"/>
  <c r="S1664" i="1"/>
  <c r="T1664" i="1" s="1"/>
  <c r="T1663" i="1"/>
  <c r="S1663" i="1"/>
  <c r="T1662" i="1"/>
  <c r="T1669" i="1" s="1"/>
  <c r="S1662" i="1"/>
  <c r="S1658" i="1"/>
  <c r="T1658" i="1" s="1"/>
  <c r="T1657" i="1"/>
  <c r="S1657" i="1"/>
  <c r="T1656" i="1"/>
  <c r="S1656" i="1"/>
  <c r="S1655" i="1"/>
  <c r="T1655" i="1" s="1"/>
  <c r="S1654" i="1"/>
  <c r="T1653" i="1"/>
  <c r="S1653" i="1"/>
  <c r="S1645" i="1"/>
  <c r="T1645" i="1" s="1"/>
  <c r="S1644" i="1"/>
  <c r="T1635" i="1"/>
  <c r="S1635" i="1"/>
  <c r="S1634" i="1"/>
  <c r="D1634" i="1"/>
  <c r="S1631" i="1"/>
  <c r="S1630" i="1"/>
  <c r="T1630" i="1" s="1"/>
  <c r="S1629" i="1"/>
  <c r="T1629" i="1" s="1"/>
  <c r="T1628" i="1"/>
  <c r="S1628" i="1"/>
  <c r="T1627" i="1"/>
  <c r="S1627" i="1"/>
  <c r="S1626" i="1"/>
  <c r="T1626" i="1" s="1"/>
  <c r="S1625" i="1"/>
  <c r="T1625" i="1" s="1"/>
  <c r="T1624" i="1"/>
  <c r="T1631" i="1" s="1"/>
  <c r="S1624" i="1"/>
  <c r="S1621" i="1"/>
  <c r="S1620" i="1"/>
  <c r="T1620" i="1" s="1"/>
  <c r="S1619" i="1"/>
  <c r="T1619" i="1" s="1"/>
  <c r="T1618" i="1"/>
  <c r="S1618" i="1"/>
  <c r="T1617" i="1"/>
  <c r="S1617" i="1"/>
  <c r="S1616" i="1"/>
  <c r="T1616" i="1" s="1"/>
  <c r="S1615" i="1"/>
  <c r="T1615" i="1" s="1"/>
  <c r="T1614" i="1"/>
  <c r="T1621" i="1" s="1"/>
  <c r="S1614" i="1"/>
  <c r="T1607" i="1"/>
  <c r="S1607" i="1"/>
  <c r="S1606" i="1"/>
  <c r="T1606" i="1" s="1"/>
  <c r="S1605" i="1"/>
  <c r="T1605" i="1" s="1"/>
  <c r="T1611" i="1" s="1"/>
  <c r="T1601" i="1"/>
  <c r="S1601" i="1"/>
  <c r="S1600" i="1"/>
  <c r="T1600" i="1" s="1"/>
  <c r="S1599" i="1"/>
  <c r="T1599" i="1" s="1"/>
  <c r="T1598" i="1"/>
  <c r="S1598" i="1"/>
  <c r="T1597" i="1"/>
  <c r="S1597" i="1"/>
  <c r="S1596" i="1"/>
  <c r="T1596" i="1" s="1"/>
  <c r="S1595" i="1"/>
  <c r="T1595" i="1" s="1"/>
  <c r="T1594" i="1"/>
  <c r="S1594" i="1"/>
  <c r="T1593" i="1"/>
  <c r="S1593" i="1"/>
  <c r="S1592" i="1"/>
  <c r="S1591" i="1"/>
  <c r="T1591" i="1" s="1"/>
  <c r="T1587" i="1"/>
  <c r="S1587" i="1"/>
  <c r="S1586" i="1"/>
  <c r="T1586" i="1" s="1"/>
  <c r="S1585" i="1"/>
  <c r="T1585" i="1" s="1"/>
  <c r="T1584" i="1"/>
  <c r="T1588" i="1" s="1"/>
  <c r="S1584" i="1"/>
  <c r="T1583" i="1"/>
  <c r="S1583" i="1"/>
  <c r="T1577" i="1"/>
  <c r="S1577" i="1"/>
  <c r="S1576" i="1"/>
  <c r="T1576" i="1" s="1"/>
  <c r="S1575" i="1"/>
  <c r="T1575" i="1" s="1"/>
  <c r="T1574" i="1"/>
  <c r="S1574" i="1"/>
  <c r="T1573" i="1"/>
  <c r="S1573" i="1"/>
  <c r="S1572" i="1"/>
  <c r="T1572" i="1" s="1"/>
  <c r="T1563" i="1"/>
  <c r="S1563" i="1"/>
  <c r="S1562" i="1"/>
  <c r="D1562" i="1"/>
  <c r="S1556" i="1"/>
  <c r="T1556" i="1" s="1"/>
  <c r="S1555" i="1"/>
  <c r="T1555" i="1" s="1"/>
  <c r="T1554" i="1"/>
  <c r="S1554" i="1"/>
  <c r="T1553" i="1"/>
  <c r="S1553" i="1"/>
  <c r="T1552" i="1"/>
  <c r="S1552" i="1"/>
  <c r="S1549" i="1"/>
  <c r="T1547" i="1"/>
  <c r="S1547" i="1"/>
  <c r="T1546" i="1"/>
  <c r="S1546" i="1"/>
  <c r="T1545" i="1"/>
  <c r="S1545" i="1"/>
  <c r="S1544" i="1"/>
  <c r="T1544" i="1" s="1"/>
  <c r="T1543" i="1"/>
  <c r="S1543" i="1"/>
  <c r="T1542" i="1"/>
  <c r="S1542" i="1"/>
  <c r="S1538" i="1"/>
  <c r="T1538" i="1" s="1"/>
  <c r="T1537" i="1"/>
  <c r="S1537" i="1"/>
  <c r="T1536" i="1"/>
  <c r="S1536" i="1"/>
  <c r="T1535" i="1"/>
  <c r="S1535" i="1"/>
  <c r="S1534" i="1"/>
  <c r="T1534" i="1" s="1"/>
  <c r="K1534" i="1"/>
  <c r="J1534" i="1"/>
  <c r="T1533" i="1"/>
  <c r="S1533" i="1"/>
  <c r="S1532" i="1"/>
  <c r="T1532" i="1" s="1"/>
  <c r="T1539" i="1" s="1"/>
  <c r="S1528" i="1"/>
  <c r="T1525" i="1"/>
  <c r="S1525" i="1"/>
  <c r="T1524" i="1"/>
  <c r="S1524" i="1"/>
  <c r="T1523" i="1"/>
  <c r="S1523" i="1"/>
  <c r="S1520" i="1"/>
  <c r="T1516" i="1"/>
  <c r="S1516" i="1"/>
  <c r="T1515" i="1"/>
  <c r="S1515" i="1"/>
  <c r="T1514" i="1"/>
  <c r="S1514" i="1"/>
  <c r="T1509" i="1"/>
  <c r="S1509" i="1"/>
  <c r="T1508" i="1"/>
  <c r="S1508" i="1"/>
  <c r="S1507" i="1"/>
  <c r="T1507" i="1" s="1"/>
  <c r="S1506" i="1"/>
  <c r="T1506" i="1" s="1"/>
  <c r="T1501" i="1"/>
  <c r="S1501" i="1"/>
  <c r="T1500" i="1"/>
  <c r="S1500" i="1"/>
  <c r="S1499" i="1"/>
  <c r="T1499" i="1" s="1"/>
  <c r="T1498" i="1"/>
  <c r="S1498" i="1"/>
  <c r="T1497" i="1"/>
  <c r="S1497" i="1"/>
  <c r="S1496" i="1"/>
  <c r="T1488" i="1"/>
  <c r="S1488" i="1"/>
  <c r="T1487" i="1"/>
  <c r="S1487" i="1"/>
  <c r="T1486" i="1"/>
  <c r="S1486" i="1"/>
  <c r="S1485" i="1"/>
  <c r="T1479" i="1"/>
  <c r="S1479" i="1"/>
  <c r="T1478" i="1"/>
  <c r="S1478" i="1"/>
  <c r="S1477" i="1"/>
  <c r="T1477" i="1" s="1"/>
  <c r="T1476" i="1"/>
  <c r="T1482" i="1" s="1"/>
  <c r="S1476" i="1"/>
  <c r="S1482" i="1" s="1"/>
  <c r="S1472" i="1"/>
  <c r="T1472" i="1" s="1"/>
  <c r="S1471" i="1"/>
  <c r="T1471" i="1" s="1"/>
  <c r="T1470" i="1"/>
  <c r="S1470" i="1"/>
  <c r="T1469" i="1"/>
  <c r="S1469" i="1"/>
  <c r="T1468" i="1"/>
  <c r="S1468" i="1"/>
  <c r="R1468" i="1"/>
  <c r="T1467" i="1"/>
  <c r="S1467" i="1"/>
  <c r="S1466" i="1"/>
  <c r="T1466" i="1" s="1"/>
  <c r="S1465" i="1"/>
  <c r="T1465" i="1" s="1"/>
  <c r="T1464" i="1"/>
  <c r="S1464" i="1"/>
  <c r="S1463" i="1"/>
  <c r="T1463" i="1" s="1"/>
  <c r="S1462" i="1"/>
  <c r="T1456" i="1"/>
  <c r="S1456" i="1"/>
  <c r="T1455" i="1"/>
  <c r="S1455" i="1"/>
  <c r="S1454" i="1"/>
  <c r="T1454" i="1" s="1"/>
  <c r="S1453" i="1"/>
  <c r="T1453" i="1" s="1"/>
  <c r="T1452" i="1"/>
  <c r="S1452" i="1"/>
  <c r="T1451" i="1"/>
  <c r="S1451" i="1"/>
  <c r="T1450" i="1"/>
  <c r="S1450" i="1"/>
  <c r="S1449" i="1"/>
  <c r="T1449" i="1" s="1"/>
  <c r="S1448" i="1"/>
  <c r="T1448" i="1" s="1"/>
  <c r="T1447" i="1"/>
  <c r="S1447" i="1"/>
  <c r="T1446" i="1"/>
  <c r="S1446" i="1"/>
  <c r="XEO1441" i="1"/>
  <c r="T1439" i="1"/>
  <c r="S1439" i="1"/>
  <c r="S1438" i="1"/>
  <c r="S1437" i="1"/>
  <c r="T1437" i="1" s="1"/>
  <c r="T1433" i="1"/>
  <c r="XEO1431" i="1"/>
  <c r="T1429" i="1"/>
  <c r="S1429" i="1"/>
  <c r="S1433" i="1" s="1"/>
  <c r="T1428" i="1"/>
  <c r="S1428" i="1"/>
  <c r="T1427" i="1"/>
  <c r="S1427" i="1"/>
  <c r="S1424" i="1"/>
  <c r="T1423" i="1"/>
  <c r="S1423" i="1"/>
  <c r="T1422" i="1"/>
  <c r="S1422" i="1"/>
  <c r="S1421" i="1"/>
  <c r="T1421" i="1" s="1"/>
  <c r="S1420" i="1"/>
  <c r="T1420" i="1" s="1"/>
  <c r="T1419" i="1"/>
  <c r="S1419" i="1"/>
  <c r="T1418" i="1"/>
  <c r="S1418" i="1"/>
  <c r="T1417" i="1"/>
  <c r="S1417" i="1"/>
  <c r="S1416" i="1"/>
  <c r="T1416" i="1" s="1"/>
  <c r="D1416" i="1"/>
  <c r="S1412" i="1"/>
  <c r="T1412" i="1" s="1"/>
  <c r="T1411" i="1"/>
  <c r="S1411" i="1"/>
  <c r="T1410" i="1"/>
  <c r="S1410" i="1"/>
  <c r="T1409" i="1"/>
  <c r="S1409" i="1"/>
  <c r="S1408" i="1"/>
  <c r="T1408" i="1" s="1"/>
  <c r="T1407" i="1"/>
  <c r="S1407" i="1"/>
  <c r="S1406" i="1"/>
  <c r="T1406" i="1" s="1"/>
  <c r="S1405" i="1"/>
  <c r="T1405" i="1" s="1"/>
  <c r="S1404" i="1"/>
  <c r="S1403" i="1"/>
  <c r="T1403" i="1" s="1"/>
  <c r="S1402" i="1"/>
  <c r="T1402" i="1" s="1"/>
  <c r="T1398" i="1"/>
  <c r="S1398" i="1"/>
  <c r="S1397" i="1"/>
  <c r="T1397" i="1" s="1"/>
  <c r="S1396" i="1"/>
  <c r="T1396" i="1" s="1"/>
  <c r="G1396" i="1"/>
  <c r="S1395" i="1"/>
  <c r="T1395" i="1" s="1"/>
  <c r="S1394" i="1"/>
  <c r="T1394" i="1" s="1"/>
  <c r="T1393" i="1"/>
  <c r="S1393" i="1"/>
  <c r="S1392" i="1"/>
  <c r="S1391" i="1"/>
  <c r="T1391" i="1" s="1"/>
  <c r="D1391" i="1"/>
  <c r="S1383" i="1"/>
  <c r="T1383" i="1" s="1"/>
  <c r="S1382" i="1"/>
  <c r="S1388" i="1" s="1"/>
  <c r="S1378" i="1"/>
  <c r="T1378" i="1" s="1"/>
  <c r="S1377" i="1"/>
  <c r="T1377" i="1" s="1"/>
  <c r="T1376" i="1"/>
  <c r="S1376" i="1"/>
  <c r="T1375" i="1"/>
  <c r="S1375" i="1"/>
  <c r="S1374" i="1"/>
  <c r="T1374" i="1" s="1"/>
  <c r="S1373" i="1"/>
  <c r="T1373" i="1" s="1"/>
  <c r="S1372" i="1"/>
  <c r="T1372" i="1" s="1"/>
  <c r="T1371" i="1"/>
  <c r="S1371" i="1"/>
  <c r="S1379" i="1" s="1"/>
  <c r="S1366" i="1"/>
  <c r="T1366" i="1" s="1"/>
  <c r="T1365" i="1"/>
  <c r="S1365" i="1"/>
  <c r="T1364" i="1"/>
  <c r="S1364" i="1"/>
  <c r="S1363" i="1"/>
  <c r="T1363" i="1" s="1"/>
  <c r="S1362" i="1"/>
  <c r="T1362" i="1" s="1"/>
  <c r="S1361" i="1"/>
  <c r="T1360" i="1"/>
  <c r="S1360" i="1"/>
  <c r="T1359" i="1"/>
  <c r="S1359" i="1"/>
  <c r="S1355" i="1"/>
  <c r="T1354" i="1"/>
  <c r="S1354" i="1"/>
  <c r="S1353" i="1"/>
  <c r="T1353" i="1" s="1"/>
  <c r="S1352" i="1"/>
  <c r="T1352" i="1" s="1"/>
  <c r="S1351" i="1"/>
  <c r="T1351" i="1" s="1"/>
  <c r="T1350" i="1"/>
  <c r="S1350" i="1"/>
  <c r="S1349" i="1"/>
  <c r="T1345" i="1"/>
  <c r="S1345" i="1"/>
  <c r="T1344" i="1"/>
  <c r="S1344" i="1"/>
  <c r="S1343" i="1"/>
  <c r="T1343" i="1" s="1"/>
  <c r="S1342" i="1"/>
  <c r="T1342" i="1" s="1"/>
  <c r="T1341" i="1"/>
  <c r="XEO1341" i="1" s="1"/>
  <c r="S1341" i="1"/>
  <c r="S1340" i="1"/>
  <c r="T1340" i="1" s="1"/>
  <c r="T1339" i="1"/>
  <c r="S1339" i="1"/>
  <c r="T1338" i="1"/>
  <c r="S1338" i="1"/>
  <c r="S1337" i="1"/>
  <c r="T1337" i="1" s="1"/>
  <c r="T1346" i="1" s="1"/>
  <c r="T1332" i="1"/>
  <c r="S1332" i="1"/>
  <c r="S1331" i="1"/>
  <c r="T1331" i="1" s="1"/>
  <c r="S1330" i="1"/>
  <c r="T1330" i="1" s="1"/>
  <c r="S1329" i="1"/>
  <c r="T1329" i="1" s="1"/>
  <c r="T1328" i="1"/>
  <c r="S1328" i="1"/>
  <c r="T1327" i="1"/>
  <c r="S1327" i="1"/>
  <c r="S1326" i="1"/>
  <c r="T1326" i="1" s="1"/>
  <c r="S1325" i="1"/>
  <c r="T1325" i="1" s="1"/>
  <c r="T1324" i="1"/>
  <c r="H1324" i="1"/>
  <c r="S1324" i="1" s="1"/>
  <c r="S1323" i="1"/>
  <c r="T1323" i="1" s="1"/>
  <c r="T1322" i="1"/>
  <c r="S1322" i="1"/>
  <c r="S1318" i="1"/>
  <c r="T1318" i="1" s="1"/>
  <c r="S1317" i="1"/>
  <c r="T1317" i="1" s="1"/>
  <c r="T1316" i="1"/>
  <c r="S1316" i="1"/>
  <c r="S1315" i="1"/>
  <c r="T1315" i="1" s="1"/>
  <c r="S1314" i="1"/>
  <c r="T1314" i="1" s="1"/>
  <c r="T1313" i="1"/>
  <c r="S1313" i="1"/>
  <c r="K1312" i="1"/>
  <c r="S1312" i="1" s="1"/>
  <c r="T1312" i="1" s="1"/>
  <c r="S1311" i="1"/>
  <c r="T1311" i="1" s="1"/>
  <c r="S1310" i="1"/>
  <c r="T1310" i="1" s="1"/>
  <c r="T1309" i="1"/>
  <c r="S1309" i="1"/>
  <c r="S1308" i="1"/>
  <c r="T1308" i="1" s="1"/>
  <c r="S1304" i="1"/>
  <c r="T1304" i="1" s="1"/>
  <c r="T1303" i="1"/>
  <c r="S1303" i="1"/>
  <c r="S1302" i="1"/>
  <c r="T1302" i="1" s="1"/>
  <c r="S1301" i="1"/>
  <c r="T1301" i="1" s="1"/>
  <c r="S1300" i="1"/>
  <c r="S1305" i="1" s="1"/>
  <c r="T1299" i="1"/>
  <c r="S1299" i="1"/>
  <c r="S1298" i="1"/>
  <c r="T1298" i="1" s="1"/>
  <c r="T1290" i="1"/>
  <c r="T1294" i="1" s="1"/>
  <c r="S1290" i="1"/>
  <c r="S1294" i="1" s="1"/>
  <c r="S1284" i="1"/>
  <c r="T1284" i="1" s="1"/>
  <c r="S1283" i="1"/>
  <c r="T1283" i="1" s="1"/>
  <c r="S1282" i="1"/>
  <c r="T1282" i="1" s="1"/>
  <c r="T1281" i="1"/>
  <c r="S1281" i="1"/>
  <c r="S1280" i="1"/>
  <c r="T1280" i="1" s="1"/>
  <c r="S1279" i="1"/>
  <c r="T1279" i="1" s="1"/>
  <c r="T1278" i="1"/>
  <c r="S1278" i="1"/>
  <c r="T1277" i="1"/>
  <c r="S1277" i="1"/>
  <c r="S1269" i="1"/>
  <c r="T1269" i="1" s="1"/>
  <c r="T1268" i="1"/>
  <c r="S1268" i="1"/>
  <c r="S1274" i="1" s="1"/>
  <c r="T1267" i="1"/>
  <c r="T1274" i="1" s="1"/>
  <c r="S1267" i="1"/>
  <c r="S1259" i="1"/>
  <c r="T1259" i="1" s="1"/>
  <c r="S1258" i="1"/>
  <c r="S1263" i="1" s="1"/>
  <c r="T1257" i="1"/>
  <c r="S1257" i="1"/>
  <c r="S1251" i="1"/>
  <c r="T1251" i="1" s="1"/>
  <c r="T1250" i="1"/>
  <c r="XEO1250" i="1" s="1"/>
  <c r="S1250" i="1"/>
  <c r="S1249" i="1"/>
  <c r="T1249" i="1" s="1"/>
  <c r="T1248" i="1"/>
  <c r="S1248" i="1"/>
  <c r="T1247" i="1"/>
  <c r="S1247" i="1"/>
  <c r="S1246" i="1"/>
  <c r="S1253" i="1" s="1"/>
  <c r="T1239" i="1"/>
  <c r="S1239" i="1"/>
  <c r="S1238" i="1"/>
  <c r="S1243" i="1" s="1"/>
  <c r="T1237" i="1"/>
  <c r="S1237" i="1"/>
  <c r="T1226" i="1"/>
  <c r="S1225" i="1"/>
  <c r="T1225" i="1" s="1"/>
  <c r="S1224" i="1"/>
  <c r="T1215" i="1"/>
  <c r="T1214" i="1"/>
  <c r="S1214" i="1"/>
  <c r="S1213" i="1"/>
  <c r="S1220" i="1" s="1"/>
  <c r="S1198" i="1"/>
  <c r="T1198" i="1" s="1"/>
  <c r="T1197" i="1"/>
  <c r="S1197" i="1"/>
  <c r="S1196" i="1"/>
  <c r="T1196" i="1" s="1"/>
  <c r="T1195" i="1"/>
  <c r="S1195" i="1"/>
  <c r="S1194" i="1"/>
  <c r="T1194" i="1" s="1"/>
  <c r="T1193" i="1"/>
  <c r="S1193" i="1"/>
  <c r="T1192" i="1"/>
  <c r="S1192" i="1"/>
  <c r="S1191" i="1"/>
  <c r="S1199" i="1" s="1"/>
  <c r="T1186" i="1"/>
  <c r="S1186" i="1"/>
  <c r="S1185" i="1"/>
  <c r="T1185" i="1" s="1"/>
  <c r="T1184" i="1"/>
  <c r="S1184" i="1"/>
  <c r="S1183" i="1"/>
  <c r="T1183" i="1" s="1"/>
  <c r="T1182" i="1"/>
  <c r="S1182" i="1"/>
  <c r="S1181" i="1"/>
  <c r="T1181" i="1" s="1"/>
  <c r="T1180" i="1"/>
  <c r="S1180" i="1"/>
  <c r="S1179" i="1"/>
  <c r="T1179" i="1" s="1"/>
  <c r="T1178" i="1"/>
  <c r="S1178" i="1"/>
  <c r="S1177" i="1"/>
  <c r="T1177" i="1" s="1"/>
  <c r="S1176" i="1"/>
  <c r="S1187" i="1" s="1"/>
  <c r="T1168" i="1"/>
  <c r="S1168" i="1"/>
  <c r="S1167" i="1"/>
  <c r="T1167" i="1" s="1"/>
  <c r="S1166" i="1"/>
  <c r="T1162" i="1"/>
  <c r="S1162" i="1"/>
  <c r="T1161" i="1"/>
  <c r="S1161" i="1"/>
  <c r="S1160" i="1"/>
  <c r="T1160" i="1" s="1"/>
  <c r="S1159" i="1"/>
  <c r="T1159" i="1" s="1"/>
  <c r="T1158" i="1"/>
  <c r="S1158" i="1"/>
  <c r="T1157" i="1"/>
  <c r="S1157" i="1"/>
  <c r="S1156" i="1"/>
  <c r="S1155" i="1"/>
  <c r="T1155" i="1" s="1"/>
  <c r="S1151" i="1"/>
  <c r="T1151" i="1" s="1"/>
  <c r="T1150" i="1"/>
  <c r="S1150" i="1"/>
  <c r="S1149" i="1"/>
  <c r="T1149" i="1" s="1"/>
  <c r="T1148" i="1"/>
  <c r="S1148" i="1"/>
  <c r="S1147" i="1"/>
  <c r="T1147" i="1" s="1"/>
  <c r="S1146" i="1"/>
  <c r="T1146" i="1" s="1"/>
  <c r="S1145" i="1"/>
  <c r="T1145" i="1" s="1"/>
  <c r="T1144" i="1"/>
  <c r="S1144" i="1"/>
  <c r="T1143" i="1"/>
  <c r="S1143" i="1"/>
  <c r="S1142" i="1"/>
  <c r="T1142" i="1" s="1"/>
  <c r="S1141" i="1"/>
  <c r="T1141" i="1" s="1"/>
  <c r="S1136" i="1"/>
  <c r="T1136" i="1" s="1"/>
  <c r="T1135" i="1"/>
  <c r="S1135" i="1"/>
  <c r="S1134" i="1"/>
  <c r="T1134" i="1" s="1"/>
  <c r="T1133" i="1"/>
  <c r="S1133" i="1"/>
  <c r="T1132" i="1"/>
  <c r="S1132" i="1"/>
  <c r="S1131" i="1"/>
  <c r="T1131" i="1" s="1"/>
  <c r="S1130" i="1"/>
  <c r="T1130" i="1" s="1"/>
  <c r="T1129" i="1"/>
  <c r="S1129" i="1"/>
  <c r="T1128" i="1"/>
  <c r="S1128" i="1"/>
  <c r="S1127" i="1"/>
  <c r="T1127" i="1" s="1"/>
  <c r="S1126" i="1"/>
  <c r="S1122" i="1"/>
  <c r="T1122" i="1" s="1"/>
  <c r="T1121" i="1"/>
  <c r="S1121" i="1"/>
  <c r="S1120" i="1"/>
  <c r="T1120" i="1" s="1"/>
  <c r="T1119" i="1"/>
  <c r="S1119" i="1"/>
  <c r="S1118" i="1"/>
  <c r="T1118" i="1" s="1"/>
  <c r="S1117" i="1"/>
  <c r="T1117" i="1" s="1"/>
  <c r="S1116" i="1"/>
  <c r="T1116" i="1" s="1"/>
  <c r="T1115" i="1"/>
  <c r="S1115" i="1"/>
  <c r="T1114" i="1"/>
  <c r="S1114" i="1"/>
  <c r="S1113" i="1"/>
  <c r="T1113" i="1" s="1"/>
  <c r="S1112" i="1"/>
  <c r="S1106" i="1"/>
  <c r="S1105" i="1"/>
  <c r="T1105" i="1" s="1"/>
  <c r="N1105" i="1"/>
  <c r="S1104" i="1"/>
  <c r="T1104" i="1" s="1"/>
  <c r="T1103" i="1"/>
  <c r="S1103" i="1"/>
  <c r="T1102" i="1"/>
  <c r="T1109" i="1" s="1"/>
  <c r="S1102" i="1"/>
  <c r="S1099" i="1"/>
  <c r="S1095" i="1"/>
  <c r="T1095" i="1" s="1"/>
  <c r="T1094" i="1"/>
  <c r="S1094" i="1"/>
  <c r="T1093" i="1"/>
  <c r="T1099" i="1" s="1"/>
  <c r="S1093" i="1"/>
  <c r="S1082" i="1"/>
  <c r="T1082" i="1" s="1"/>
  <c r="T1089" i="1" s="1"/>
  <c r="S1076" i="1"/>
  <c r="T1076" i="1" s="1"/>
  <c r="T1075" i="1"/>
  <c r="S1075" i="1"/>
  <c r="S1074" i="1"/>
  <c r="T1074" i="1" s="1"/>
  <c r="T1073" i="1"/>
  <c r="S1073" i="1"/>
  <c r="S1079" i="1" s="1"/>
  <c r="S1067" i="1"/>
  <c r="T1067" i="1" s="1"/>
  <c r="S1066" i="1"/>
  <c r="T1066" i="1" s="1"/>
  <c r="T1065" i="1"/>
  <c r="S1065" i="1"/>
  <c r="T1064" i="1"/>
  <c r="S1064" i="1"/>
  <c r="S1063" i="1"/>
  <c r="T1063" i="1" s="1"/>
  <c r="S1062" i="1"/>
  <c r="T1062" i="1" s="1"/>
  <c r="T1070" i="1" s="1"/>
  <c r="D1062" i="1"/>
  <c r="S1059" i="1"/>
  <c r="T1059" i="1" s="1"/>
  <c r="T1058" i="1"/>
  <c r="S1058" i="1"/>
  <c r="S1057" i="1"/>
  <c r="T1057" i="1" s="1"/>
  <c r="S1056" i="1"/>
  <c r="T1056" i="1" s="1"/>
  <c r="S1055" i="1"/>
  <c r="T1055" i="1" s="1"/>
  <c r="T1054" i="1"/>
  <c r="S1054" i="1"/>
  <c r="S1053" i="1"/>
  <c r="T1053" i="1" s="1"/>
  <c r="S1052" i="1"/>
  <c r="T1052" i="1" s="1"/>
  <c r="T1051" i="1"/>
  <c r="S1051" i="1"/>
  <c r="S1060" i="1" s="1"/>
  <c r="T1050" i="1"/>
  <c r="S1050" i="1"/>
  <c r="S1049" i="1"/>
  <c r="T1049" i="1" s="1"/>
  <c r="T1041" i="1"/>
  <c r="T1046" i="1" s="1"/>
  <c r="S1041" i="1"/>
  <c r="S1046" i="1" s="1"/>
  <c r="T1031" i="1"/>
  <c r="T1030" i="1"/>
  <c r="T1038" i="1" s="1"/>
  <c r="S1030" i="1"/>
  <c r="S1038" i="1" s="1"/>
  <c r="T1022" i="1"/>
  <c r="S1022" i="1"/>
  <c r="S1027" i="1" s="1"/>
  <c r="S1021" i="1"/>
  <c r="T1021" i="1" s="1"/>
  <c r="T1020" i="1"/>
  <c r="T1027" i="1" s="1"/>
  <c r="S1020" i="1"/>
  <c r="D1020" i="1"/>
  <c r="T1016" i="1"/>
  <c r="S1016" i="1"/>
  <c r="S1015" i="1"/>
  <c r="T1015" i="1" s="1"/>
  <c r="S1014" i="1"/>
  <c r="T1014" i="1" s="1"/>
  <c r="S1013" i="1"/>
  <c r="T1013" i="1" s="1"/>
  <c r="T1012" i="1"/>
  <c r="S1012" i="1"/>
  <c r="T1011" i="1"/>
  <c r="S1011" i="1"/>
  <c r="S1010" i="1"/>
  <c r="T1010" i="1" s="1"/>
  <c r="T1007" i="1"/>
  <c r="S996" i="1"/>
  <c r="S1007" i="1" s="1"/>
  <c r="T992" i="1"/>
  <c r="S992" i="1"/>
  <c r="S991" i="1"/>
  <c r="T991" i="1" s="1"/>
  <c r="T990" i="1"/>
  <c r="S990" i="1"/>
  <c r="S989" i="1"/>
  <c r="T989" i="1" s="1"/>
  <c r="T988" i="1"/>
  <c r="S988" i="1"/>
  <c r="T987" i="1"/>
  <c r="S987" i="1"/>
  <c r="S986" i="1"/>
  <c r="T986" i="1" s="1"/>
  <c r="S985" i="1"/>
  <c r="T985" i="1" s="1"/>
  <c r="T984" i="1"/>
  <c r="S984" i="1"/>
  <c r="T983" i="1"/>
  <c r="S983" i="1"/>
  <c r="S993" i="1" s="1"/>
  <c r="S982" i="1"/>
  <c r="T982" i="1" s="1"/>
  <c r="S979" i="1"/>
  <c r="T978" i="1"/>
  <c r="S978" i="1"/>
  <c r="S977" i="1"/>
  <c r="T977" i="1" s="1"/>
  <c r="T976" i="1"/>
  <c r="S976" i="1"/>
  <c r="S975" i="1"/>
  <c r="T975" i="1" s="1"/>
  <c r="T974" i="1"/>
  <c r="S974" i="1"/>
  <c r="S973" i="1"/>
  <c r="T973" i="1" s="1"/>
  <c r="T972" i="1"/>
  <c r="S972" i="1"/>
  <c r="S963" i="1"/>
  <c r="S962" i="1"/>
  <c r="T962" i="1" s="1"/>
  <c r="T969" i="1" s="1"/>
  <c r="D962" i="1"/>
  <c r="S957" i="1"/>
  <c r="T957" i="1" s="1"/>
  <c r="T956" i="1"/>
  <c r="S956" i="1"/>
  <c r="S955" i="1"/>
  <c r="T955" i="1" s="1"/>
  <c r="S954" i="1"/>
  <c r="T954" i="1" s="1"/>
  <c r="S953" i="1"/>
  <c r="T953" i="1" s="1"/>
  <c r="T952" i="1"/>
  <c r="T959" i="1" s="1"/>
  <c r="S952" i="1"/>
  <c r="T948" i="1"/>
  <c r="S948" i="1"/>
  <c r="S947" i="1"/>
  <c r="T947" i="1" s="1"/>
  <c r="T946" i="1"/>
  <c r="S946" i="1"/>
  <c r="T945" i="1"/>
  <c r="S945" i="1"/>
  <c r="S944" i="1"/>
  <c r="S949" i="1" s="1"/>
  <c r="S943" i="1"/>
  <c r="T943" i="1" s="1"/>
  <c r="T942" i="1"/>
  <c r="S942" i="1"/>
  <c r="T941" i="1"/>
  <c r="S941" i="1"/>
  <c r="S935" i="1"/>
  <c r="T935" i="1" s="1"/>
  <c r="T934" i="1"/>
  <c r="S934" i="1"/>
  <c r="S933" i="1"/>
  <c r="T933" i="1" s="1"/>
  <c r="S932" i="1"/>
  <c r="T932" i="1" s="1"/>
  <c r="S929" i="1"/>
  <c r="T924" i="1"/>
  <c r="S924" i="1"/>
  <c r="S923" i="1"/>
  <c r="T923" i="1" s="1"/>
  <c r="T929" i="1" s="1"/>
  <c r="T914" i="1"/>
  <c r="S913" i="1"/>
  <c r="S919" i="1" s="1"/>
  <c r="S912" i="1"/>
  <c r="T912" i="1" s="1"/>
  <c r="S907" i="1"/>
  <c r="T901" i="1"/>
  <c r="T907" i="1" s="1"/>
  <c r="S901" i="1"/>
  <c r="D901" i="1"/>
  <c r="T893" i="1"/>
  <c r="S892" i="1"/>
  <c r="T892" i="1" s="1"/>
  <c r="T898" i="1" s="1"/>
  <c r="T891" i="1"/>
  <c r="S891" i="1"/>
  <c r="S898" i="1" s="1"/>
  <c r="S887" i="1"/>
  <c r="T882" i="1"/>
  <c r="T881" i="1"/>
  <c r="T887" i="1" s="1"/>
  <c r="S881" i="1"/>
  <c r="D881" i="1"/>
  <c r="T878" i="1"/>
  <c r="S873" i="1"/>
  <c r="S878" i="1" s="1"/>
  <c r="S863" i="1"/>
  <c r="S868" i="1" s="1"/>
  <c r="D863" i="1"/>
  <c r="S855" i="1"/>
  <c r="T855" i="1" s="1"/>
  <c r="S854" i="1"/>
  <c r="T854" i="1" s="1"/>
  <c r="S853" i="1"/>
  <c r="T853" i="1" s="1"/>
  <c r="T852" i="1"/>
  <c r="S852" i="1"/>
  <c r="S859" i="1" s="1"/>
  <c r="S847" i="1"/>
  <c r="T847" i="1" s="1"/>
  <c r="T846" i="1"/>
  <c r="S846" i="1"/>
  <c r="T845" i="1"/>
  <c r="S845" i="1"/>
  <c r="T844" i="1"/>
  <c r="S844" i="1"/>
  <c r="S843" i="1"/>
  <c r="T843" i="1" s="1"/>
  <c r="S842" i="1"/>
  <c r="S849" i="1" s="1"/>
  <c r="S838" i="1"/>
  <c r="T838" i="1" s="1"/>
  <c r="S837" i="1"/>
  <c r="T837" i="1" s="1"/>
  <c r="S836" i="1"/>
  <c r="T836" i="1" s="1"/>
  <c r="T835" i="1"/>
  <c r="S835" i="1"/>
  <c r="S834" i="1"/>
  <c r="T834" i="1" s="1"/>
  <c r="S833" i="1"/>
  <c r="T833" i="1" s="1"/>
  <c r="T832" i="1"/>
  <c r="S832" i="1"/>
  <c r="T831" i="1"/>
  <c r="S831" i="1"/>
  <c r="T830" i="1"/>
  <c r="S830" i="1"/>
  <c r="S829" i="1"/>
  <c r="T829" i="1" s="1"/>
  <c r="S828" i="1"/>
  <c r="S839" i="1" s="1"/>
  <c r="T823" i="1"/>
  <c r="S823" i="1"/>
  <c r="S822" i="1"/>
  <c r="T822" i="1" s="1"/>
  <c r="S821" i="1"/>
  <c r="T821" i="1" s="1"/>
  <c r="T820" i="1"/>
  <c r="S820" i="1"/>
  <c r="S819" i="1"/>
  <c r="T810" i="1"/>
  <c r="T816" i="1" s="1"/>
  <c r="S810" i="1"/>
  <c r="S816" i="1" s="1"/>
  <c r="S802" i="1"/>
  <c r="T802" i="1" s="1"/>
  <c r="S801" i="1"/>
  <c r="T798" i="1"/>
  <c r="S792" i="1"/>
  <c r="S798" i="1" s="1"/>
  <c r="S789" i="1"/>
  <c r="T780" i="1"/>
  <c r="T789" i="1" s="1"/>
  <c r="S780" i="1"/>
  <c r="T776" i="1"/>
  <c r="S776" i="1"/>
  <c r="S775" i="1"/>
  <c r="T775" i="1" s="1"/>
  <c r="T774" i="1"/>
  <c r="S774" i="1"/>
  <c r="S773" i="1"/>
  <c r="T773" i="1" s="1"/>
  <c r="S772" i="1"/>
  <c r="T772" i="1" s="1"/>
  <c r="S771" i="1"/>
  <c r="T771" i="1" s="1"/>
  <c r="T770" i="1"/>
  <c r="S770" i="1"/>
  <c r="T769" i="1"/>
  <c r="S769" i="1"/>
  <c r="T768" i="1"/>
  <c r="S768" i="1"/>
  <c r="S767" i="1"/>
  <c r="T767" i="1" s="1"/>
  <c r="T766" i="1"/>
  <c r="S766" i="1"/>
  <c r="S754" i="1"/>
  <c r="S761" i="1" s="1"/>
  <c r="T747" i="1"/>
  <c r="S747" i="1"/>
  <c r="T746" i="1"/>
  <c r="S746" i="1"/>
  <c r="T745" i="1"/>
  <c r="S745" i="1"/>
  <c r="O745" i="1"/>
  <c r="H745" i="1"/>
  <c r="T744" i="1"/>
  <c r="S744" i="1"/>
  <c r="T743" i="1"/>
  <c r="T751" i="1" s="1"/>
  <c r="S743" i="1"/>
  <c r="S751" i="1" s="1"/>
  <c r="S733" i="1"/>
  <c r="T733" i="1" s="1"/>
  <c r="T740" i="1" s="1"/>
  <c r="D733" i="1"/>
  <c r="T724" i="1"/>
  <c r="T723" i="1"/>
  <c r="T729" i="1" s="1"/>
  <c r="S723" i="1"/>
  <c r="S729" i="1" s="1"/>
  <c r="S719" i="1"/>
  <c r="S718" i="1"/>
  <c r="T718" i="1" s="1"/>
  <c r="S717" i="1"/>
  <c r="T717" i="1" s="1"/>
  <c r="T716" i="1"/>
  <c r="S716" i="1"/>
  <c r="S715" i="1"/>
  <c r="T715" i="1" s="1"/>
  <c r="S714" i="1"/>
  <c r="T714" i="1" s="1"/>
  <c r="T707" i="1"/>
  <c r="S707" i="1"/>
  <c r="T706" i="1"/>
  <c r="S706" i="1"/>
  <c r="S705" i="1"/>
  <c r="T705" i="1" s="1"/>
  <c r="S704" i="1"/>
  <c r="S711" i="1" s="1"/>
  <c r="S697" i="1"/>
  <c r="T697" i="1" s="1"/>
  <c r="S696" i="1"/>
  <c r="T696" i="1" s="1"/>
  <c r="S695" i="1"/>
  <c r="T687" i="1"/>
  <c r="T692" i="1" s="1"/>
  <c r="T686" i="1"/>
  <c r="S686" i="1"/>
  <c r="S692" i="1" s="1"/>
  <c r="S682" i="1"/>
  <c r="S678" i="1"/>
  <c r="T678" i="1" s="1"/>
  <c r="S677" i="1"/>
  <c r="T677" i="1" s="1"/>
  <c r="T676" i="1"/>
  <c r="S676" i="1"/>
  <c r="T675" i="1"/>
  <c r="T682" i="1" s="1"/>
  <c r="S675" i="1"/>
  <c r="S668" i="1"/>
  <c r="T668" i="1" s="1"/>
  <c r="T667" i="1"/>
  <c r="S667" i="1"/>
  <c r="S666" i="1"/>
  <c r="T666" i="1" s="1"/>
  <c r="S665" i="1"/>
  <c r="T665" i="1" s="1"/>
  <c r="T659" i="1"/>
  <c r="S659" i="1"/>
  <c r="T658" i="1"/>
  <c r="S658" i="1"/>
  <c r="T657" i="1"/>
  <c r="S657" i="1"/>
  <c r="S656" i="1"/>
  <c r="T656" i="1" s="1"/>
  <c r="T647" i="1"/>
  <c r="S647" i="1"/>
  <c r="T646" i="1"/>
  <c r="T650" i="1" s="1"/>
  <c r="S646" i="1"/>
  <c r="T642" i="1"/>
  <c r="S642" i="1"/>
  <c r="S641" i="1"/>
  <c r="T641" i="1" s="1"/>
  <c r="S640" i="1"/>
  <c r="T640" i="1" s="1"/>
  <c r="S639" i="1"/>
  <c r="T639" i="1" s="1"/>
  <c r="T638" i="1"/>
  <c r="S638" i="1"/>
  <c r="T637" i="1"/>
  <c r="S637" i="1"/>
  <c r="T636" i="1"/>
  <c r="S636" i="1"/>
  <c r="T635" i="1"/>
  <c r="S635" i="1"/>
  <c r="T634" i="1"/>
  <c r="S634" i="1"/>
  <c r="T633" i="1"/>
  <c r="S633" i="1"/>
  <c r="S643" i="1" s="1"/>
  <c r="T632" i="1"/>
  <c r="S632" i="1"/>
  <c r="T623" i="1"/>
  <c r="T618" i="1"/>
  <c r="S618" i="1"/>
  <c r="T617" i="1"/>
  <c r="S617" i="1"/>
  <c r="S623" i="1" s="1"/>
  <c r="S614" i="1"/>
  <c r="T609" i="1"/>
  <c r="T614" i="1" s="1"/>
  <c r="S609" i="1"/>
  <c r="T608" i="1"/>
  <c r="S608" i="1"/>
  <c r="T600" i="1"/>
  <c r="S600" i="1"/>
  <c r="S605" i="1" s="1"/>
  <c r="T599" i="1"/>
  <c r="T605" i="1" s="1"/>
  <c r="S599" i="1"/>
  <c r="T591" i="1"/>
  <c r="S591" i="1"/>
  <c r="T590" i="1"/>
  <c r="T596" i="1" s="1"/>
  <c r="S590" i="1"/>
  <c r="S596" i="1" s="1"/>
  <c r="T587" i="1"/>
  <c r="T582" i="1"/>
  <c r="S582" i="1"/>
  <c r="T581" i="1"/>
  <c r="S581" i="1"/>
  <c r="S587" i="1" s="1"/>
  <c r="S578" i="1"/>
  <c r="T573" i="1"/>
  <c r="T578" i="1" s="1"/>
  <c r="S573" i="1"/>
  <c r="T572" i="1"/>
  <c r="S572" i="1"/>
  <c r="T564" i="1"/>
  <c r="S564" i="1"/>
  <c r="S569" i="1" s="1"/>
  <c r="T563" i="1"/>
  <c r="T569" i="1" s="1"/>
  <c r="S563" i="1"/>
  <c r="T555" i="1"/>
  <c r="S555" i="1"/>
  <c r="T554" i="1"/>
  <c r="T560" i="1" s="1"/>
  <c r="S554" i="1"/>
  <c r="S560" i="1" s="1"/>
  <c r="T550" i="1"/>
  <c r="T545" i="1"/>
  <c r="S545" i="1"/>
  <c r="T544" i="1"/>
  <c r="S544" i="1"/>
  <c r="S550" i="1" s="1"/>
  <c r="S541" i="1"/>
  <c r="T536" i="1"/>
  <c r="T541" i="1" s="1"/>
  <c r="S536" i="1"/>
  <c r="T535" i="1"/>
  <c r="S535" i="1"/>
  <c r="T527" i="1"/>
  <c r="S527" i="1"/>
  <c r="S532" i="1" s="1"/>
  <c r="T526" i="1"/>
  <c r="T532" i="1" s="1"/>
  <c r="S526" i="1"/>
  <c r="T508" i="1"/>
  <c r="S508" i="1"/>
  <c r="T507" i="1"/>
  <c r="T514" i="1" s="1"/>
  <c r="S507" i="1"/>
  <c r="S514" i="1" s="1"/>
  <c r="T499" i="1"/>
  <c r="S499" i="1"/>
  <c r="T498" i="1"/>
  <c r="S498" i="1"/>
  <c r="T497" i="1"/>
  <c r="S497" i="1"/>
  <c r="T496" i="1"/>
  <c r="T502" i="1" s="1"/>
  <c r="S496" i="1"/>
  <c r="T495" i="1"/>
  <c r="S495" i="1"/>
  <c r="S502" i="1" s="1"/>
  <c r="T490" i="1"/>
  <c r="S490" i="1"/>
  <c r="T489" i="1"/>
  <c r="S489" i="1"/>
  <c r="T488" i="1"/>
  <c r="S488" i="1"/>
  <c r="T487" i="1"/>
  <c r="S487" i="1"/>
  <c r="T486" i="1"/>
  <c r="S486" i="1"/>
  <c r="S492" i="1" s="1"/>
  <c r="T485" i="1"/>
  <c r="T492" i="1" s="1"/>
  <c r="S485" i="1"/>
  <c r="T478" i="1"/>
  <c r="T482" i="1" s="1"/>
  <c r="S478" i="1"/>
  <c r="S482" i="1" s="1"/>
  <c r="T475" i="1"/>
  <c r="S475" i="1"/>
  <c r="D467" i="1"/>
  <c r="S459" i="1"/>
  <c r="T459" i="1" s="1"/>
  <c r="S458" i="1"/>
  <c r="T458" i="1" s="1"/>
  <c r="S457" i="1"/>
  <c r="T457" i="1" s="1"/>
  <c r="S456" i="1"/>
  <c r="T456" i="1" s="1"/>
  <c r="T464" i="1" s="1"/>
  <c r="S452" i="1"/>
  <c r="T452" i="1" s="1"/>
  <c r="S451" i="1"/>
  <c r="T451" i="1" s="1"/>
  <c r="S450" i="1"/>
  <c r="T450" i="1" s="1"/>
  <c r="S449" i="1"/>
  <c r="T449" i="1" s="1"/>
  <c r="S448" i="1"/>
  <c r="T448" i="1" s="1"/>
  <c r="S447" i="1"/>
  <c r="T447" i="1" s="1"/>
  <c r="S446" i="1"/>
  <c r="T446" i="1" s="1"/>
  <c r="S445" i="1"/>
  <c r="T445" i="1" s="1"/>
  <c r="S444" i="1"/>
  <c r="T444" i="1" s="1"/>
  <c r="S443" i="1"/>
  <c r="S453" i="1" s="1"/>
  <c r="S442" i="1"/>
  <c r="T442" i="1" s="1"/>
  <c r="S435" i="1"/>
  <c r="T435" i="1" s="1"/>
  <c r="S434" i="1"/>
  <c r="T434" i="1" s="1"/>
  <c r="S433" i="1"/>
  <c r="T433" i="1" s="1"/>
  <c r="S432" i="1"/>
  <c r="T432" i="1" s="1"/>
  <c r="D432" i="1"/>
  <c r="S429" i="1"/>
  <c r="T422" i="1"/>
  <c r="T429" i="1" s="1"/>
  <c r="S422" i="1"/>
  <c r="T417" i="1"/>
  <c r="S417" i="1"/>
  <c r="T416" i="1"/>
  <c r="S416" i="1"/>
  <c r="T415" i="1"/>
  <c r="S415" i="1"/>
  <c r="T414" i="1"/>
  <c r="S414" i="1"/>
  <c r="T413" i="1"/>
  <c r="S413" i="1"/>
  <c r="T412" i="1"/>
  <c r="S412" i="1"/>
  <c r="T411" i="1"/>
  <c r="S411" i="1"/>
  <c r="T410" i="1"/>
  <c r="S410" i="1"/>
  <c r="T409" i="1"/>
  <c r="S409" i="1"/>
  <c r="T408" i="1"/>
  <c r="S408" i="1"/>
  <c r="T407" i="1"/>
  <c r="T418" i="1" s="1"/>
  <c r="S407" i="1"/>
  <c r="S418" i="1" s="1"/>
  <c r="T403" i="1"/>
  <c r="S403" i="1"/>
  <c r="T402" i="1"/>
  <c r="S402" i="1"/>
  <c r="T401" i="1"/>
  <c r="S401" i="1"/>
  <c r="T400" i="1"/>
  <c r="S400" i="1"/>
  <c r="T399" i="1"/>
  <c r="S399" i="1"/>
  <c r="T398" i="1"/>
  <c r="S398" i="1"/>
  <c r="T397" i="1"/>
  <c r="S397" i="1"/>
  <c r="T396" i="1"/>
  <c r="T404" i="1" s="1"/>
  <c r="S396" i="1"/>
  <c r="S404" i="1" s="1"/>
  <c r="T395" i="1"/>
  <c r="S395" i="1"/>
  <c r="T391" i="1"/>
  <c r="S391" i="1"/>
  <c r="T390" i="1"/>
  <c r="S390" i="1"/>
  <c r="T389" i="1"/>
  <c r="S389" i="1"/>
  <c r="T388" i="1"/>
  <c r="S388" i="1"/>
  <c r="T387" i="1"/>
  <c r="S387" i="1"/>
  <c r="T386" i="1"/>
  <c r="S386" i="1"/>
  <c r="T385" i="1"/>
  <c r="S385" i="1"/>
  <c r="T384" i="1"/>
  <c r="S384" i="1"/>
  <c r="S392" i="1" s="1"/>
  <c r="T383" i="1"/>
  <c r="S383" i="1"/>
  <c r="T382" i="1"/>
  <c r="S382" i="1"/>
  <c r="T381" i="1"/>
  <c r="T392" i="1" s="1"/>
  <c r="S381" i="1"/>
  <c r="T377" i="1"/>
  <c r="S377" i="1"/>
  <c r="T376" i="1"/>
  <c r="S376" i="1"/>
  <c r="T375" i="1"/>
  <c r="S375" i="1"/>
  <c r="T374" i="1"/>
  <c r="S374" i="1"/>
  <c r="T373" i="1"/>
  <c r="S373" i="1"/>
  <c r="T372" i="1"/>
  <c r="S372" i="1"/>
  <c r="T371" i="1"/>
  <c r="S371" i="1"/>
  <c r="T370" i="1"/>
  <c r="S370" i="1"/>
  <c r="S378" i="1" s="1"/>
  <c r="T369" i="1"/>
  <c r="S369" i="1"/>
  <c r="T368" i="1"/>
  <c r="S368" i="1"/>
  <c r="T367" i="1"/>
  <c r="T378" i="1" s="1"/>
  <c r="S367" i="1"/>
  <c r="T359" i="1"/>
  <c r="S359" i="1"/>
  <c r="T358" i="1"/>
  <c r="S358" i="1"/>
  <c r="T357" i="1"/>
  <c r="S357" i="1"/>
  <c r="T356" i="1"/>
  <c r="S356" i="1"/>
  <c r="T355" i="1"/>
  <c r="S355" i="1"/>
  <c r="T354" i="1"/>
  <c r="S354" i="1"/>
  <c r="T353" i="1"/>
  <c r="S353" i="1"/>
  <c r="S352" i="1"/>
  <c r="S360" i="1" s="1"/>
  <c r="T347" i="1"/>
  <c r="S347" i="1"/>
  <c r="T346" i="1"/>
  <c r="S346" i="1"/>
  <c r="T345" i="1"/>
  <c r="S345" i="1"/>
  <c r="T344" i="1"/>
  <c r="S344" i="1"/>
  <c r="T343" i="1"/>
  <c r="S343" i="1"/>
  <c r="T342" i="1"/>
  <c r="S342" i="1"/>
  <c r="T341" i="1"/>
  <c r="S341" i="1"/>
  <c r="T340" i="1"/>
  <c r="T348" i="1" s="1"/>
  <c r="S340" i="1"/>
  <c r="T339" i="1"/>
  <c r="S339" i="1"/>
  <c r="T338" i="1"/>
  <c r="S338" i="1"/>
  <c r="T337" i="1"/>
  <c r="S337" i="1"/>
  <c r="S348" i="1" s="1"/>
  <c r="T333" i="1"/>
  <c r="S329" i="1"/>
  <c r="S328" i="1"/>
  <c r="S333" i="1" s="1"/>
  <c r="T327" i="1"/>
  <c r="S327" i="1"/>
  <c r="S324" i="1"/>
  <c r="T320" i="1"/>
  <c r="S320" i="1"/>
  <c r="T319" i="1"/>
  <c r="S319" i="1"/>
  <c r="T318" i="1"/>
  <c r="T324" i="1" s="1"/>
  <c r="S318" i="1"/>
  <c r="T312" i="1"/>
  <c r="S312" i="1"/>
  <c r="T311" i="1"/>
  <c r="S311" i="1"/>
  <c r="T310" i="1"/>
  <c r="S310" i="1"/>
  <c r="T309" i="1"/>
  <c r="T315" i="1" s="1"/>
  <c r="S309" i="1"/>
  <c r="S315" i="1" s="1"/>
  <c r="T306" i="1"/>
  <c r="T303" i="1"/>
  <c r="S303" i="1"/>
  <c r="T302" i="1"/>
  <c r="S302" i="1"/>
  <c r="T301" i="1"/>
  <c r="S301" i="1"/>
  <c r="S306" i="1" s="1"/>
  <c r="T295" i="1"/>
  <c r="S295" i="1"/>
  <c r="T294" i="1"/>
  <c r="S294" i="1"/>
  <c r="T293" i="1"/>
  <c r="S293" i="1"/>
  <c r="T292" i="1"/>
  <c r="T298" i="1" s="1"/>
  <c r="S292" i="1"/>
  <c r="S298" i="1" s="1"/>
  <c r="T286" i="1"/>
  <c r="T289" i="1" s="1"/>
  <c r="S286" i="1"/>
  <c r="S289" i="1" s="1"/>
  <c r="T277" i="1"/>
  <c r="S277" i="1"/>
  <c r="T276" i="1"/>
  <c r="S276" i="1"/>
  <c r="T275" i="1"/>
  <c r="S275" i="1"/>
  <c r="T274" i="1"/>
  <c r="T282" i="1" s="1"/>
  <c r="S274" i="1"/>
  <c r="S282" i="1" s="1"/>
  <c r="T269" i="1"/>
  <c r="T267" i="1"/>
  <c r="S267" i="1"/>
  <c r="T266" i="1"/>
  <c r="S266" i="1"/>
  <c r="T265" i="1"/>
  <c r="S265" i="1"/>
  <c r="S269" i="1" s="1"/>
  <c r="T261" i="1"/>
  <c r="S261" i="1"/>
  <c r="T260" i="1"/>
  <c r="S260" i="1"/>
  <c r="T259" i="1"/>
  <c r="S259" i="1"/>
  <c r="T258" i="1"/>
  <c r="S258" i="1"/>
  <c r="T257" i="1"/>
  <c r="S257" i="1"/>
  <c r="T256" i="1"/>
  <c r="S256" i="1"/>
  <c r="T255" i="1"/>
  <c r="S255" i="1"/>
  <c r="T254" i="1"/>
  <c r="T262" i="1" s="1"/>
  <c r="S254" i="1"/>
  <c r="T253" i="1"/>
  <c r="S253" i="1"/>
  <c r="S262" i="1" s="1"/>
  <c r="T246" i="1"/>
  <c r="S246" i="1"/>
  <c r="T245" i="1"/>
  <c r="S245" i="1"/>
  <c r="T244" i="1"/>
  <c r="S244" i="1"/>
  <c r="T243" i="1"/>
  <c r="S243" i="1"/>
  <c r="T242" i="1"/>
  <c r="S242" i="1"/>
  <c r="T241" i="1"/>
  <c r="S241" i="1"/>
  <c r="T240" i="1"/>
  <c r="S240" i="1"/>
  <c r="T239" i="1"/>
  <c r="T250" i="1" s="1"/>
  <c r="S239" i="1"/>
  <c r="S250" i="1" s="1"/>
  <c r="S236" i="1"/>
  <c r="T225" i="1"/>
  <c r="T236" i="1" s="1"/>
  <c r="S225" i="1"/>
  <c r="D225" i="1"/>
  <c r="S219" i="1"/>
  <c r="T219" i="1" s="1"/>
  <c r="S218" i="1"/>
  <c r="T218" i="1" s="1"/>
  <c r="S217" i="1"/>
  <c r="T217" i="1" s="1"/>
  <c r="S216" i="1"/>
  <c r="T216" i="1" s="1"/>
  <c r="S215" i="1"/>
  <c r="T215" i="1" s="1"/>
  <c r="S214" i="1"/>
  <c r="T214" i="1" s="1"/>
  <c r="S213" i="1"/>
  <c r="T213" i="1" s="1"/>
  <c r="S212" i="1"/>
  <c r="T212" i="1" s="1"/>
  <c r="S211" i="1"/>
  <c r="T211" i="1" s="1"/>
  <c r="S210" i="1"/>
  <c r="S220" i="1" s="1"/>
  <c r="S209" i="1"/>
  <c r="T209" i="1" s="1"/>
  <c r="S204" i="1"/>
  <c r="T204" i="1" s="1"/>
  <c r="S203" i="1"/>
  <c r="T203" i="1" s="1"/>
  <c r="S202" i="1"/>
  <c r="T202" i="1" s="1"/>
  <c r="S201" i="1"/>
  <c r="T201" i="1" s="1"/>
  <c r="S200" i="1"/>
  <c r="T200" i="1" s="1"/>
  <c r="S199" i="1"/>
  <c r="T199" i="1" s="1"/>
  <c r="S198" i="1"/>
  <c r="T198" i="1" s="1"/>
  <c r="S197" i="1"/>
  <c r="S205" i="1" s="1"/>
  <c r="S193" i="1"/>
  <c r="T193" i="1" s="1"/>
  <c r="S192" i="1"/>
  <c r="T192" i="1" s="1"/>
  <c r="S191" i="1"/>
  <c r="T191" i="1" s="1"/>
  <c r="S190" i="1"/>
  <c r="T190" i="1" s="1"/>
  <c r="S189" i="1"/>
  <c r="T189" i="1" s="1"/>
  <c r="S188" i="1"/>
  <c r="T188" i="1" s="1"/>
  <c r="S187" i="1"/>
  <c r="T187" i="1" s="1"/>
  <c r="S186" i="1"/>
  <c r="T186" i="1" s="1"/>
  <c r="S183" i="1"/>
  <c r="S178" i="1"/>
  <c r="T178" i="1" s="1"/>
  <c r="T183" i="1" s="1"/>
  <c r="D178" i="1"/>
  <c r="T174" i="1"/>
  <c r="T169" i="1"/>
  <c r="S169" i="1"/>
  <c r="S174" i="1" s="1"/>
  <c r="T165" i="1"/>
  <c r="S165" i="1"/>
  <c r="T160" i="1"/>
  <c r="S160" i="1"/>
  <c r="T159" i="1"/>
  <c r="S159" i="1"/>
  <c r="D159" i="1"/>
  <c r="S154" i="1"/>
  <c r="T154" i="1" s="1"/>
  <c r="S153" i="1"/>
  <c r="T153" i="1" s="1"/>
  <c r="S152" i="1"/>
  <c r="T152" i="1" s="1"/>
  <c r="S151" i="1"/>
  <c r="T151" i="1" s="1"/>
  <c r="S150" i="1"/>
  <c r="T150" i="1" s="1"/>
  <c r="S149" i="1"/>
  <c r="T149" i="1" s="1"/>
  <c r="S148" i="1"/>
  <c r="T148" i="1" s="1"/>
  <c r="S147" i="1"/>
  <c r="S155" i="1" s="1"/>
  <c r="S146" i="1"/>
  <c r="T146" i="1" s="1"/>
  <c r="S145" i="1"/>
  <c r="T145" i="1" s="1"/>
  <c r="S144" i="1"/>
  <c r="T144" i="1" s="1"/>
  <c r="D144" i="1"/>
  <c r="T138" i="1"/>
  <c r="S138" i="1"/>
  <c r="T137" i="1"/>
  <c r="S137" i="1"/>
  <c r="T136" i="1"/>
  <c r="S136" i="1"/>
  <c r="T135" i="1"/>
  <c r="T141" i="1" s="1"/>
  <c r="S135" i="1"/>
  <c r="S141" i="1" s="1"/>
  <c r="T130" i="1"/>
  <c r="S130" i="1"/>
  <c r="T129" i="1"/>
  <c r="S129" i="1"/>
  <c r="T128" i="1"/>
  <c r="S128" i="1"/>
  <c r="T127" i="1"/>
  <c r="S127" i="1"/>
  <c r="T126" i="1"/>
  <c r="S126" i="1"/>
  <c r="T125" i="1"/>
  <c r="T132" i="1" s="1"/>
  <c r="S125" i="1"/>
  <c r="S132" i="1" s="1"/>
  <c r="T122" i="1"/>
  <c r="T118" i="1"/>
  <c r="S118" i="1"/>
  <c r="T117" i="1"/>
  <c r="S117" i="1"/>
  <c r="T116" i="1"/>
  <c r="S116" i="1"/>
  <c r="S122" i="1" s="1"/>
  <c r="T111" i="1"/>
  <c r="S111" i="1"/>
  <c r="T110" i="1"/>
  <c r="S110" i="1"/>
  <c r="T109" i="1"/>
  <c r="S109" i="1"/>
  <c r="T108" i="1"/>
  <c r="S108" i="1"/>
  <c r="T107" i="1"/>
  <c r="S107" i="1"/>
  <c r="T106" i="1"/>
  <c r="S106" i="1"/>
  <c r="T105" i="1"/>
  <c r="S105" i="1"/>
  <c r="T104" i="1"/>
  <c r="T113" i="1" s="1"/>
  <c r="S104" i="1"/>
  <c r="S113" i="1" s="1"/>
  <c r="T97" i="1"/>
  <c r="S97" i="1"/>
  <c r="T96" i="1"/>
  <c r="S96" i="1"/>
  <c r="T95" i="1"/>
  <c r="S95" i="1"/>
  <c r="T94" i="1"/>
  <c r="S94" i="1"/>
  <c r="T93" i="1"/>
  <c r="T99" i="1" s="1"/>
  <c r="S93" i="1"/>
  <c r="S99" i="1" s="1"/>
  <c r="T89" i="1"/>
  <c r="S89" i="1"/>
  <c r="T88" i="1"/>
  <c r="S88" i="1"/>
  <c r="T87" i="1"/>
  <c r="S87" i="1"/>
  <c r="T86" i="1"/>
  <c r="S86" i="1"/>
  <c r="S90" i="1" s="1"/>
  <c r="T85" i="1"/>
  <c r="S85" i="1"/>
  <c r="T84" i="1"/>
  <c r="S84" i="1"/>
  <c r="T83" i="1"/>
  <c r="T90" i="1" s="1"/>
  <c r="S83" i="1"/>
  <c r="S80" i="1"/>
  <c r="T75" i="1"/>
  <c r="T80" i="1" s="1"/>
  <c r="S75" i="1"/>
  <c r="T74" i="1"/>
  <c r="S74" i="1"/>
  <c r="T70" i="1"/>
  <c r="S70" i="1"/>
  <c r="T69" i="1"/>
  <c r="S69" i="1"/>
  <c r="T68" i="1"/>
  <c r="S68" i="1"/>
  <c r="T67" i="1"/>
  <c r="S67" i="1"/>
  <c r="T66" i="1"/>
  <c r="S66" i="1"/>
  <c r="T65" i="1"/>
  <c r="S65" i="1"/>
  <c r="T62" i="1"/>
  <c r="S62" i="1"/>
  <c r="T61" i="1"/>
  <c r="T71" i="1" s="1"/>
  <c r="S61" i="1"/>
  <c r="T60" i="1"/>
  <c r="S60" i="1"/>
  <c r="S71" i="1" s="1"/>
  <c r="T47" i="1"/>
  <c r="S47" i="1"/>
  <c r="T46" i="1"/>
  <c r="S46" i="1"/>
  <c r="T45" i="1"/>
  <c r="S45" i="1"/>
  <c r="T44" i="1"/>
  <c r="T48" i="1" s="1"/>
  <c r="S44" i="1"/>
  <c r="T43" i="1"/>
  <c r="S43" i="1"/>
  <c r="T42" i="1"/>
  <c r="S42" i="1"/>
  <c r="T41" i="1"/>
  <c r="S41" i="1"/>
  <c r="S48" i="1" s="1"/>
  <c r="T36" i="1"/>
  <c r="S36" i="1"/>
  <c r="T35" i="1"/>
  <c r="S35" i="1"/>
  <c r="T34" i="1"/>
  <c r="S34" i="1"/>
  <c r="T33" i="1"/>
  <c r="T38" i="1" s="1"/>
  <c r="S33" i="1"/>
  <c r="T32" i="1"/>
  <c r="S32" i="1"/>
  <c r="T31" i="1"/>
  <c r="S31" i="1"/>
  <c r="T30" i="1"/>
  <c r="S30" i="1"/>
  <c r="S38" i="1" s="1"/>
  <c r="T26" i="1"/>
  <c r="S26" i="1"/>
  <c r="T25" i="1"/>
  <c r="S25" i="1"/>
  <c r="T24" i="1"/>
  <c r="S24" i="1"/>
  <c r="T23" i="1"/>
  <c r="S23" i="1"/>
  <c r="T22" i="1"/>
  <c r="S22" i="1"/>
  <c r="T21" i="1"/>
  <c r="S21" i="1"/>
  <c r="T20" i="1"/>
  <c r="S20" i="1"/>
  <c r="T19" i="1"/>
  <c r="T27" i="1" s="1"/>
  <c r="S19" i="1"/>
  <c r="T18" i="1"/>
  <c r="S18" i="1"/>
  <c r="T17" i="1"/>
  <c r="S17" i="1"/>
  <c r="T16" i="1"/>
  <c r="S16" i="1"/>
  <c r="S27" i="1" s="1"/>
  <c r="T155" i="1" l="1"/>
  <c r="T194" i="1"/>
  <c r="T859" i="1"/>
  <c r="T1017" i="1"/>
  <c r="T1319" i="1"/>
  <c r="T1152" i="1"/>
  <c r="T439" i="1"/>
  <c r="T777" i="1"/>
  <c r="T672" i="1"/>
  <c r="T938" i="1"/>
  <c r="T993" i="1"/>
  <c r="T1285" i="1"/>
  <c r="T453" i="1"/>
  <c r="T1079" i="1"/>
  <c r="T147" i="1"/>
  <c r="T210" i="1"/>
  <c r="T220" i="1" s="1"/>
  <c r="T443" i="1"/>
  <c r="T704" i="1"/>
  <c r="T711" i="1" s="1"/>
  <c r="T720" i="1"/>
  <c r="S740" i="1"/>
  <c r="T754" i="1"/>
  <c r="T761" i="1" s="1"/>
  <c r="T828" i="1"/>
  <c r="T839" i="1" s="1"/>
  <c r="T913" i="1"/>
  <c r="T919" i="1" s="1"/>
  <c r="S938" i="1"/>
  <c r="T944" i="1"/>
  <c r="T949" i="1" s="1"/>
  <c r="T1060" i="1"/>
  <c r="S1089" i="1"/>
  <c r="S1163" i="1"/>
  <c r="T1191" i="1"/>
  <c r="T1199" i="1" s="1"/>
  <c r="T1213" i="1"/>
  <c r="T1220" i="1" s="1"/>
  <c r="T1246" i="1"/>
  <c r="T1253" i="1" s="1"/>
  <c r="T1300" i="1"/>
  <c r="S1319" i="1"/>
  <c r="T1379" i="1"/>
  <c r="S1399" i="1"/>
  <c r="T1720" i="1"/>
  <c r="T1725" i="1" s="1"/>
  <c r="S1725" i="1"/>
  <c r="T1963" i="1"/>
  <c r="T1975" i="1" s="1"/>
  <c r="S194" i="1"/>
  <c r="T352" i="1"/>
  <c r="T360" i="1" s="1"/>
  <c r="T643" i="1"/>
  <c r="S701" i="1"/>
  <c r="S720" i="1"/>
  <c r="T863" i="1"/>
  <c r="T868" i="1" s="1"/>
  <c r="S969" i="1"/>
  <c r="S1109" i="1"/>
  <c r="T1156" i="1"/>
  <c r="T1392" i="1"/>
  <c r="S1503" i="1"/>
  <c r="T1496" i="1"/>
  <c r="T1503" i="1" s="1"/>
  <c r="T1675" i="1"/>
  <c r="T1678" i="1" s="1"/>
  <c r="S1678" i="1"/>
  <c r="S2050" i="1"/>
  <c r="T2042" i="1"/>
  <c r="T2050" i="1" s="1"/>
  <c r="T1126" i="1"/>
  <c r="T1137" i="1" s="1"/>
  <c r="S1137" i="1"/>
  <c r="T1163" i="1"/>
  <c r="T1399" i="1"/>
  <c r="S662" i="1"/>
  <c r="S672" i="1"/>
  <c r="T695" i="1"/>
  <c r="T701" i="1" s="1"/>
  <c r="T1485" i="1"/>
  <c r="T1493" i="1" s="1"/>
  <c r="S1493" i="1"/>
  <c r="S1569" i="1"/>
  <c r="T1562" i="1"/>
  <c r="T1569" i="1" s="1"/>
  <c r="T1654" i="1"/>
  <c r="T1659" i="1" s="1"/>
  <c r="S1659" i="1"/>
  <c r="T1702" i="1"/>
  <c r="T1883" i="1"/>
  <c r="S439" i="1"/>
  <c r="T662" i="1"/>
  <c r="T979" i="1"/>
  <c r="T1112" i="1"/>
  <c r="T1123" i="1" s="1"/>
  <c r="S1123" i="1"/>
  <c r="T1382" i="1"/>
  <c r="T1388" i="1" s="1"/>
  <c r="S1413" i="1"/>
  <c r="S1641" i="1"/>
  <c r="T1634" i="1"/>
  <c r="T1641" i="1" s="1"/>
  <c r="T1828" i="1"/>
  <c r="T1945" i="1"/>
  <c r="T1959" i="1"/>
  <c r="T2003" i="1"/>
  <c r="S2010" i="1"/>
  <c r="T197" i="1"/>
  <c r="T205" i="1" s="1"/>
  <c r="T842" i="1"/>
  <c r="T849" i="1" s="1"/>
  <c r="S959" i="1"/>
  <c r="S1017" i="1"/>
  <c r="T1176" i="1"/>
  <c r="T1187" i="1" s="1"/>
  <c r="T1238" i="1"/>
  <c r="T1243" i="1" s="1"/>
  <c r="S1285" i="1"/>
  <c r="T1305" i="1"/>
  <c r="S1346" i="1"/>
  <c r="T1438" i="1"/>
  <c r="T1443" i="1" s="1"/>
  <c r="S1443" i="1"/>
  <c r="S1539" i="1"/>
  <c r="S1792" i="1"/>
  <c r="T1784" i="1"/>
  <c r="T1792" i="1" s="1"/>
  <c r="T1796" i="1"/>
  <c r="S1804" i="1"/>
  <c r="T1860" i="1"/>
  <c r="T1902" i="1"/>
  <c r="S464" i="1"/>
  <c r="S825" i="1"/>
  <c r="S1070" i="1"/>
  <c r="S1173" i="1"/>
  <c r="S1232" i="1"/>
  <c r="T1258" i="1"/>
  <c r="T1263" i="1" s="1"/>
  <c r="S1333" i="1"/>
  <c r="S1356" i="1"/>
  <c r="S1367" i="1"/>
  <c r="T1424" i="1"/>
  <c r="T1579" i="1"/>
  <c r="S650" i="1"/>
  <c r="S777" i="1"/>
  <c r="S807" i="1"/>
  <c r="T801" i="1"/>
  <c r="T807" i="1" s="1"/>
  <c r="T819" i="1"/>
  <c r="T825" i="1" s="1"/>
  <c r="T1166" i="1"/>
  <c r="T1173" i="1" s="1"/>
  <c r="T1224" i="1"/>
  <c r="T1232" i="1" s="1"/>
  <c r="T1349" i="1"/>
  <c r="T1356" i="1" s="1"/>
  <c r="T1747" i="1"/>
  <c r="T1746" i="1"/>
  <c r="S1747" i="1"/>
  <c r="T1457" i="1"/>
  <c r="S1602" i="1"/>
  <c r="T1592" i="1"/>
  <c r="T1602" i="1" s="1"/>
  <c r="S2057" i="1"/>
  <c r="T2053" i="1"/>
  <c r="T2057" i="1" s="1"/>
  <c r="S2075" i="1"/>
  <c r="T2072" i="1"/>
  <c r="T2075" i="1" s="1"/>
  <c r="T2020" i="1"/>
  <c r="S2084" i="1"/>
  <c r="S1152" i="1"/>
  <c r="T1333" i="1"/>
  <c r="S1457" i="1"/>
  <c r="S1511" i="1"/>
  <c r="T1549" i="1"/>
  <c r="T1716" i="1"/>
  <c r="S1883" i="1"/>
  <c r="T1893" i="1"/>
  <c r="T2010" i="1"/>
  <c r="S2020" i="1"/>
  <c r="T1462" i="1"/>
  <c r="T1473" i="1" s="1"/>
  <c r="S1473" i="1"/>
  <c r="T1511" i="1"/>
  <c r="T1528" i="1"/>
  <c r="S1650" i="1"/>
  <c r="T1644" i="1"/>
  <c r="T1650" i="1" s="1"/>
  <c r="T1869" i="1"/>
  <c r="T2084" i="1"/>
  <c r="T1361" i="1"/>
  <c r="T1367" i="1" s="1"/>
  <c r="T1520" i="1"/>
  <c r="S1611" i="1"/>
  <c r="T1737" i="1"/>
  <c r="T1776" i="1"/>
  <c r="S2039" i="1"/>
  <c r="T2031" i="1"/>
  <c r="T2039" i="1" s="1"/>
  <c r="T1413" i="1"/>
  <c r="S1559" i="1"/>
  <c r="S1688" i="1"/>
  <c r="T1683" i="1"/>
  <c r="T1688" i="1" s="1"/>
  <c r="S1765" i="1"/>
  <c r="T1759" i="1"/>
  <c r="T1765" i="1" s="1"/>
  <c r="T2113" i="1"/>
  <c r="XEO1450" i="1"/>
  <c r="T1559" i="1"/>
  <c r="S1588" i="1"/>
  <c r="S1737" i="1"/>
  <c r="S1776" i="1"/>
  <c r="T1804" i="1"/>
  <c r="T2103" i="1"/>
  <c r="S1579" i="1"/>
  <c r="S1828" i="1"/>
  <c r="S1842" i="1"/>
  <c r="S1860" i="1"/>
  <c r="S1869" i="1"/>
  <c r="T1925" i="1"/>
  <c r="T1931" i="1" s="1"/>
  <c r="T1935" i="1"/>
  <c r="T1949" i="1"/>
  <c r="T1978" i="1"/>
  <c r="T1984" i="1" s="1"/>
  <c r="T2023" i="1"/>
  <c r="T2028" i="1" s="1"/>
  <c r="S2113" i="1"/>
  <c r="D422" i="1" l="1"/>
  <c r="D632" i="1"/>
  <c r="D381" i="1"/>
  <c r="G1608" i="1"/>
  <c r="D1583" i="1"/>
  <c r="D367" i="1"/>
  <c r="D1360" i="1"/>
  <c r="D1166" i="1"/>
  <c r="D40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  <author>tc={A672D3F7-50AF-4F74-A994-6571617DECF0}</author>
    <author>tc={72F568DE-70B5-4D42-B5E3-7B0E64239270}</author>
    <author>tc={3D32881F-04C3-4AC1-80D1-97856C7B5474}</author>
    <author>tc={65C27E54-A345-4BFB-A490-FD3BFB886851}</author>
    <author>tc={DCA7C861-DC97-4077-B4DD-DC142D50663D}</author>
    <author>tc={D3EB5473-C6F2-46AE-8FF4-EC59F0B584C0}</author>
  </authors>
  <commentList>
    <comment ref="I42" authorId="0" shapeId="0" xr:uid="{34B86E02-2AFA-4FE6-B392-87FF91AA1A21}">
      <text>
        <r>
          <rPr>
            <b/>
            <sz val="20"/>
            <color indexed="81"/>
            <rFont val="Tahoma"/>
            <family val="2"/>
          </rPr>
          <t>Three 20k payments</t>
        </r>
      </text>
    </comment>
    <comment ref="R42" authorId="0" shapeId="0" xr:uid="{2893D87C-6AF1-4803-8F09-AC648F898BD1}">
      <text>
        <r>
          <rPr>
            <b/>
            <sz val="26"/>
            <color indexed="81"/>
            <rFont val="Tahoma"/>
            <family val="2"/>
          </rPr>
          <t>3 payments by USSD - each N20K</t>
        </r>
      </text>
    </comment>
    <comment ref="G45" authorId="0" shapeId="0" xr:uid="{716A9159-8365-4EA3-8770-3BBE47F5369C}">
      <text>
        <r>
          <rPr>
            <b/>
            <sz val="20"/>
            <color indexed="81"/>
            <rFont val="Tahoma"/>
            <family val="2"/>
          </rPr>
          <t>HANANIYA  CALEB 14TH JAN</t>
        </r>
      </text>
    </comment>
    <comment ref="C60" authorId="0" shapeId="0" xr:uid="{6B675033-9859-4B1A-9302-186DA87D9A1C}">
      <text>
        <r>
          <rPr>
            <b/>
            <sz val="20"/>
            <color indexed="81"/>
            <rFont val="Tahoma"/>
            <family val="2"/>
          </rPr>
          <t>EKOMOBONG UDUAKOBO move into BOLAJI KAYODE ESO (CSO) house in JAN 2021
Before then BOLAJI KAYODE ESO (CSO) was owing from 2015 - 2020 N360,000
Move out in Nov 2022</t>
        </r>
      </text>
    </comment>
    <comment ref="J84" authorId="0" shapeId="0" xr:uid="{34F54B85-91FC-4B50-A1A7-54BC80951D34}">
      <text>
        <r>
          <rPr>
            <b/>
            <sz val="24"/>
            <color indexed="81"/>
            <rFont val="Tahoma"/>
            <family val="2"/>
          </rPr>
          <t>22nd - N25k
23rd - N15k</t>
        </r>
      </text>
    </comment>
    <comment ref="J94" authorId="0" shapeId="0" xr:uid="{972B0F82-DCF2-4887-B524-80D31FBF55DA}">
      <text>
        <r>
          <rPr>
            <b/>
            <sz val="26"/>
            <color indexed="81"/>
            <rFont val="Tahoma"/>
            <family val="2"/>
          </rPr>
          <t>50k - 17th
50k - 22nd</t>
        </r>
      </text>
    </comment>
    <comment ref="H105" authorId="0" shapeId="0" xr:uid="{9B449477-9606-4F35-AF82-D76928CC8859}">
      <text>
        <r>
          <rPr>
            <b/>
            <sz val="20"/>
            <color indexed="81"/>
            <rFont val="Tahoma"/>
            <family val="2"/>
          </rPr>
          <t>86k on the 6th
6k on the 9th
3k on the 25th</t>
        </r>
      </text>
    </comment>
    <comment ref="K116" authorId="0" shapeId="0" xr:uid="{C725D92D-2D85-49D6-A655-D0E0C50CB8E7}">
      <text>
        <r>
          <rPr>
            <b/>
            <sz val="14"/>
            <color indexed="81"/>
            <rFont val="Tahoma"/>
            <family val="2"/>
          </rPr>
          <t>pending statement confirmation</t>
        </r>
      </text>
    </comment>
    <comment ref="J160" authorId="0" shapeId="0" xr:uid="{0A94A8C5-3DD9-47A9-AD9B-C8B681489B56}">
      <text>
        <r>
          <rPr>
            <b/>
            <sz val="22"/>
            <color indexed="81"/>
            <rFont val="Tahoma"/>
            <family val="2"/>
          </rPr>
          <t>Pending confirmation</t>
        </r>
      </text>
    </comment>
    <comment ref="G178" authorId="0" shapeId="0" xr:uid="{7D4F3AB6-BD7B-42DD-B253-06B512960D13}">
      <text>
        <r>
          <rPr>
            <b/>
            <sz val="26"/>
            <color indexed="81"/>
            <rFont val="Tahoma"/>
            <family val="2"/>
          </rPr>
          <t>Single payment of N60k (with 14A ojo.k) made in january from Access bank</t>
        </r>
        <r>
          <rPr>
            <sz val="26"/>
            <color indexed="81"/>
            <rFont val="Tahoma"/>
            <family val="2"/>
          </rPr>
          <t xml:space="preserve">
</t>
        </r>
      </text>
    </comment>
    <comment ref="G225" authorId="0" shapeId="0" xr:uid="{7D613682-614E-48DF-AB6E-C47146DBF9A1}">
      <text>
        <r>
          <rPr>
            <sz val="26"/>
            <color indexed="81"/>
            <rFont val="Tahoma"/>
            <family val="2"/>
          </rPr>
          <t xml:space="preserve">60k payment by Godson Uzochi - Access Bank (31st Jan)
</t>
        </r>
      </text>
    </comment>
    <comment ref="O225" authorId="0" shapeId="0" xr:uid="{27C32946-50DE-410D-8DE6-E564B6F52CEF}">
      <text>
        <r>
          <rPr>
            <b/>
            <sz val="24"/>
            <color indexed="81"/>
            <rFont val="Tahoma"/>
            <family val="2"/>
          </rPr>
          <t>paid by Godson Uzochi</t>
        </r>
      </text>
    </comment>
    <comment ref="P302" authorId="1" shapeId="0" xr:uid="{A672D3F7-50AF-4F74-A994-6571617DECF0}">
      <text>
        <t>[Threaded comment]
Your version of Excel allows you to read this threaded comment; however, any edits to it will get removed if the file is opened in a newer version of Excel. Learn more: https://go.microsoft.com/fwlink/?linkid=870924
Comment:
    Rceipt pending. Txn confirmed from alert, not statement</t>
      </text>
    </comment>
    <comment ref="P311" authorId="0" shapeId="0" xr:uid="{7FF45A42-F609-4A75-9096-496FE8E98198}">
      <text>
        <r>
          <rPr>
            <sz val="11"/>
            <color indexed="81"/>
            <rFont val="Tahoma"/>
            <family val="2"/>
          </rPr>
          <t>No 0001593</t>
        </r>
      </text>
    </comment>
    <comment ref="J338" authorId="0" shapeId="0" xr:uid="{6C69399D-00EB-4DA9-8FE7-129FF4DE6EFA}">
      <text>
        <r>
          <rPr>
            <b/>
            <sz val="22"/>
            <color indexed="81"/>
            <rFont val="Tahoma"/>
            <family val="2"/>
          </rPr>
          <t xml:space="preserve">Apr 17th
50K
110K
100K </t>
        </r>
      </text>
    </comment>
    <comment ref="J408" authorId="0" shapeId="0" xr:uid="{4A14CBF0-0C76-463B-8291-8530EA972526}">
      <text>
        <r>
          <rPr>
            <b/>
            <sz val="22"/>
            <color indexed="81"/>
            <rFont val="Tahoma"/>
            <family val="2"/>
          </rPr>
          <t>60k
30k - 19th
30k - 23rd
60k - 25th</t>
        </r>
      </text>
    </comment>
    <comment ref="G423" authorId="0" shapeId="0" xr:uid="{F5266C84-DB8B-4F11-B645-C0DE95A3272D}">
      <text>
        <r>
          <rPr>
            <b/>
            <sz val="16"/>
            <color indexed="81"/>
            <rFont val="Tahoma"/>
            <family val="2"/>
          </rPr>
          <t>Paid 17th Jan 2024</t>
        </r>
      </text>
    </comment>
    <comment ref="O432" authorId="0" shapeId="0" xr:uid="{CE072CED-B653-4801-A6A1-E79DC80CC00D}">
      <text>
        <r>
          <rPr>
            <b/>
            <sz val="24"/>
            <color indexed="81"/>
            <rFont val="Tahoma"/>
            <family val="2"/>
          </rPr>
          <t>from Adegoke Adeola Mary via GTB 23/09/25</t>
        </r>
      </text>
    </comment>
    <comment ref="N472" authorId="0" shapeId="0" xr:uid="{26A75596-6192-43DC-93A3-538AE71D30FE}">
      <text>
        <r>
          <rPr>
            <b/>
            <sz val="22"/>
            <color indexed="81"/>
            <rFont val="Tahoma"/>
            <family val="2"/>
          </rPr>
          <t>ATM CASH TRANSFER-ZIB Kofo Abayomi Br//628051</t>
        </r>
      </text>
    </comment>
    <comment ref="O745" authorId="0" shapeId="0" xr:uid="{3E167DE2-39B4-4DB1-8278-E028DB4B5883}">
      <text>
        <r>
          <rPr>
            <b/>
            <sz val="36"/>
            <color indexed="81"/>
            <rFont val="Tahoma"/>
            <family val="2"/>
          </rPr>
          <t>receipt n bank statement - N3K</t>
        </r>
        <r>
          <rPr>
            <sz val="36"/>
            <color indexed="81"/>
            <rFont val="Tahoma"/>
            <family val="2"/>
          </rPr>
          <t xml:space="preserve">
</t>
        </r>
      </text>
    </comment>
    <comment ref="P745" authorId="0" shapeId="0" xr:uid="{7EC898C1-D6D9-4266-AF72-540C60F96096}">
      <text>
        <r>
          <rPr>
            <sz val="9"/>
            <color indexed="81"/>
            <rFont val="Tahoma"/>
            <family val="2"/>
          </rPr>
          <t>No 0001594</t>
        </r>
      </text>
    </comment>
    <comment ref="Q745" authorId="0" shapeId="0" xr:uid="{BB4ABF3B-60AC-4E33-B9F7-1100CF1DAB23}">
      <text>
        <r>
          <rPr>
            <b/>
            <sz val="9"/>
            <color indexed="81"/>
            <rFont val="Tahoma"/>
            <family val="2"/>
          </rPr>
          <t>Paid Dec 6th</t>
        </r>
      </text>
    </comment>
    <comment ref="L757" authorId="0" shapeId="0" xr:uid="{E79C2DFB-4CA2-4511-92AB-DFBAC313D61B}">
      <text>
        <r>
          <rPr>
            <b/>
            <sz val="28"/>
            <color indexed="81"/>
            <rFont val="Tahoma"/>
            <family val="2"/>
          </rPr>
          <t xml:space="preserve">HE PAID CASH - 6,000 AT THE GATE </t>
        </r>
      </text>
    </comment>
    <comment ref="C766" authorId="0" shapeId="0" xr:uid="{51FB23BB-22E8-4619-BAB9-F8EAFE7CD5E6}">
      <text>
        <r>
          <rPr>
            <b/>
            <sz val="22"/>
            <color indexed="81"/>
            <rFont val="Tahoma"/>
            <family val="2"/>
          </rPr>
          <t>HE MOVED INTO A DUPLEX INSIDE THE SAME COMPAND IN 2022 JAN</t>
        </r>
      </text>
    </comment>
    <comment ref="C767" authorId="0" shapeId="0" xr:uid="{35C01682-A632-4BE5-90B6-CF09742B0891}">
      <text>
        <r>
          <rPr>
            <b/>
            <sz val="22"/>
            <color indexed="81"/>
            <rFont val="Tahoma"/>
            <family val="2"/>
          </rPr>
          <t>HE MOVED INTO A DUPLEX INSIDE THE SAME COMPAND IN 2022 JAN</t>
        </r>
      </text>
    </comment>
    <comment ref="O828" authorId="0" shapeId="0" xr:uid="{FC48FC35-1172-444B-905E-D05B42369A12}">
      <text>
        <r>
          <rPr>
            <b/>
            <sz val="22"/>
            <color indexed="81"/>
            <rFont val="Tahoma"/>
            <family val="2"/>
          </rPr>
          <t>10K - Sep 12
10K - Sep 18</t>
        </r>
        <r>
          <rPr>
            <sz val="22"/>
            <color indexed="81"/>
            <rFont val="Tahoma"/>
            <family val="2"/>
          </rPr>
          <t xml:space="preserve">
</t>
        </r>
      </text>
    </comment>
    <comment ref="P830" authorId="0" shapeId="0" xr:uid="{0A2644CF-33FF-4028-90C6-BBF0E89E792F}">
      <text>
        <r>
          <rPr>
            <sz val="22"/>
            <color indexed="81"/>
            <rFont val="Tahoma"/>
            <family val="2"/>
          </rPr>
          <t>No 0001592</t>
        </r>
      </text>
    </comment>
    <comment ref="J853" authorId="0" shapeId="0" xr:uid="{1EAD38E8-FC5C-45F0-AFF8-248B3DDF7042}">
      <text>
        <r>
          <rPr>
            <b/>
            <sz val="26"/>
            <color indexed="81"/>
            <rFont val="Tahoma"/>
            <family val="2"/>
          </rPr>
          <t>2 txns on 17th Apr
15k &amp; 10K</t>
        </r>
      </text>
    </comment>
    <comment ref="O881" authorId="0" shapeId="0" xr:uid="{971BF247-5F3F-47B1-A583-5C4B492FD111}">
      <text>
        <r>
          <rPr>
            <b/>
            <sz val="36"/>
            <color indexed="81"/>
            <rFont val="Tahoma"/>
            <family val="2"/>
          </rPr>
          <t>Transferred to CDA Account</t>
        </r>
      </text>
    </comment>
    <comment ref="K891" authorId="2" shapeId="0" xr:uid="{72F568DE-70B5-4D42-B5E3-7B0E64239270}">
      <text>
        <t>[Threaded comment]
Your version of Excel allows you to read this threaded comment; however, any edits to it will get removed if the file is opened in a newer version of Excel. Learn more: https://go.microsoft.com/fwlink/?linkid=870924
Comment:
    Receipt pending</t>
      </text>
    </comment>
    <comment ref="N913" authorId="0" shapeId="0" xr:uid="{C6364E1D-FBF3-4C9B-87A2-10CE73EC3621}">
      <text>
        <r>
          <rPr>
            <b/>
            <sz val="24"/>
            <color indexed="81"/>
            <rFont val="Tahoma"/>
            <family val="2"/>
          </rPr>
          <t>Paid 150k; 300k dev fee outstanding</t>
        </r>
        <r>
          <rPr>
            <sz val="24"/>
            <color indexed="81"/>
            <rFont val="Tahoma"/>
            <family val="2"/>
          </rPr>
          <t xml:space="preserve">
</t>
        </r>
      </text>
    </comment>
    <comment ref="S914" authorId="0" shapeId="0" xr:uid="{988160AF-BC49-464E-A8E6-FFAB4E35D269}">
      <text/>
    </comment>
    <comment ref="J942" authorId="0" shapeId="0" xr:uid="{3148C913-384F-4CB2-B138-272C5F78A1AD}">
      <text>
        <r>
          <rPr>
            <b/>
            <sz val="24"/>
            <color indexed="81"/>
            <rFont val="Tahoma"/>
            <family val="2"/>
          </rPr>
          <t>21k - by self
36k by Landlord (N144k for 4 tenants)</t>
        </r>
      </text>
    </comment>
    <comment ref="S946" authorId="0" shapeId="0" xr:uid="{50BE2E92-6AC0-48D8-A024-5B1BD4DF4CF1}">
      <text>
        <r>
          <rPr>
            <b/>
            <sz val="9"/>
            <color indexed="81"/>
            <rFont val="Tahoma"/>
            <family val="2"/>
          </rPr>
          <t>9k not captured</t>
        </r>
      </text>
    </comment>
    <comment ref="P948" authorId="0" shapeId="0" xr:uid="{27A19C55-FE25-4C2B-B469-82609D6303C2}">
      <text>
        <r>
          <rPr>
            <b/>
            <sz val="9"/>
            <color indexed="81"/>
            <rFont val="Tahoma"/>
            <family val="2"/>
          </rPr>
          <t>Paid 6k</t>
        </r>
      </text>
    </comment>
    <comment ref="J953" authorId="0" shapeId="0" xr:uid="{9C08DD70-6925-434A-91F3-33F9F256C949}">
      <text>
        <r>
          <rPr>
            <b/>
            <sz val="9"/>
            <color indexed="81"/>
            <rFont val="Tahoma"/>
            <family val="2"/>
          </rPr>
          <t>N144k for 4 tennats from lanlord</t>
        </r>
      </text>
    </comment>
    <comment ref="N982" authorId="0" shapeId="0" xr:uid="{D107426E-EEAD-4F99-99E5-E5EA9BF9387C}">
      <text>
        <r>
          <rPr>
            <b/>
            <sz val="26"/>
            <color indexed="81"/>
            <rFont val="Tahoma"/>
            <family val="2"/>
          </rPr>
          <t>N110k - 1st Aug from House of Mercy
200k from Apst Philip
165k - from House of Mercy Account</t>
        </r>
      </text>
    </comment>
    <comment ref="H1020" authorId="0" shapeId="0" xr:uid="{03E24EB5-E2C3-48EE-8908-A4C38DCCA48E}">
      <text>
        <r>
          <rPr>
            <b/>
            <sz val="18"/>
            <color indexed="81"/>
            <rFont val="Tahoma"/>
            <family val="2"/>
          </rPr>
          <t>Yet to write receipt
17 Feb - 18K</t>
        </r>
      </text>
    </comment>
    <comment ref="E1032" authorId="3" shapeId="0" xr:uid="{3D32881F-04C3-4AC1-80D1-97856C7B5474}">
      <text>
        <t>[Threaded comment]
Your version of Excel allows you to read this threaded comment; however, any edits to it will get removed if the file is opened in a newer version of Excel. Learn more: https://go.microsoft.com/fwlink/?linkid=870924
Comment:
    Confirm Dev Fee date from Madam Chair
Receipts for all payments outstanding</t>
      </text>
    </comment>
    <comment ref="P1062" authorId="0" shapeId="0" xr:uid="{99E4B152-FC3D-4BBB-BF5C-49D14869E3A3}">
      <text>
        <r>
          <rPr>
            <sz val="26"/>
            <color indexed="81"/>
            <rFont val="Tahoma"/>
            <family val="2"/>
          </rPr>
          <t>6 Oct - N40k
10 Oct - N58k</t>
        </r>
      </text>
    </comment>
    <comment ref="J1074" authorId="0" shapeId="0" xr:uid="{03099282-A4DC-4831-8B28-2AE57EBE0161}">
      <text>
        <r>
          <rPr>
            <b/>
            <sz val="9"/>
            <color indexed="81"/>
            <rFont val="Tahoma"/>
            <family val="2"/>
          </rPr>
          <t>Dec 23 - Aug 24</t>
        </r>
      </text>
    </comment>
    <comment ref="J1075" authorId="0" shapeId="0" xr:uid="{665A3FE6-E06D-48E6-8ADE-0DA04D31327A}">
      <text>
        <r>
          <rPr>
            <b/>
            <sz val="9"/>
            <color indexed="81"/>
            <rFont val="Tahoma"/>
            <family val="2"/>
          </rPr>
          <t>initally ommitted - addeded on th 26th of July 2024 after resident provided the receipt</t>
        </r>
      </text>
    </comment>
    <comment ref="G1094" authorId="0" shapeId="0" xr:uid="{3F797CC4-01CA-43C1-BD05-ED1689E30317}">
      <text>
        <r>
          <rPr>
            <b/>
            <sz val="18"/>
            <color indexed="81"/>
            <rFont val="Tahoma"/>
            <family val="2"/>
          </rPr>
          <t>Paid 24 Jan 2024</t>
        </r>
      </text>
    </comment>
    <comment ref="M1167" authorId="4" shapeId="0" xr:uid="{65C27E54-A345-4BFB-A490-FD3BFB886851}">
      <text>
        <t>[Threaded comment]
Your version of Excel allows you to read this threaded comment; however, any edits to it will get removed if the file is opened in a newer version of Excel. Learn more: https://go.microsoft.com/fwlink/?linkid=870924
Comment:
    Receipt pending
Reply:
    Review with exco</t>
      </text>
    </comment>
    <comment ref="O1191" authorId="0" shapeId="0" xr:uid="{102CE692-B8AE-4623-9AD1-589552EBD8E6}">
      <text>
        <r>
          <rPr>
            <b/>
            <sz val="28"/>
            <color indexed="81"/>
            <rFont val="Tahoma"/>
            <family val="2"/>
          </rPr>
          <t>N164 paid
N114k for dues
N50K for access cards</t>
        </r>
      </text>
    </comment>
    <comment ref="N1224" authorId="0" shapeId="0" xr:uid="{3DB6A05D-F892-4DC1-BBA0-0105B9FB622E}">
      <text>
        <r>
          <rPr>
            <b/>
            <sz val="26"/>
            <color indexed="81"/>
            <rFont val="Tahoma"/>
            <family val="2"/>
          </rPr>
          <t>150K - 5th Aug
120K - 7th Aug</t>
        </r>
        <r>
          <rPr>
            <sz val="26"/>
            <color indexed="81"/>
            <rFont val="Tahoma"/>
            <family val="2"/>
          </rPr>
          <t xml:space="preserve">
</t>
        </r>
      </text>
    </comment>
    <comment ref="J1237" authorId="0" shapeId="0" xr:uid="{D7D0FF55-2D5B-4B69-A9A6-6C34CE1FE6AF}">
      <text>
        <r>
          <rPr>
            <b/>
            <sz val="16"/>
            <color indexed="81"/>
            <rFont val="Tahoma"/>
            <family val="2"/>
          </rPr>
          <t>Apr 4th - 20k
Apr 30th - 10k</t>
        </r>
      </text>
    </comment>
    <comment ref="N1237" authorId="0" shapeId="0" xr:uid="{D1E041D5-78A4-449B-9B66-60FCC907D26B}">
      <text>
        <r>
          <rPr>
            <b/>
            <sz val="24"/>
            <color indexed="81"/>
            <rFont val="Tahoma"/>
            <family val="2"/>
          </rPr>
          <t>10K - 1st Aug
10K - 26Aug</t>
        </r>
      </text>
    </comment>
    <comment ref="G1247" authorId="0" shapeId="0" xr:uid="{A0C53227-9508-4FCA-86BE-F6443F46CE54}">
      <text>
        <r>
          <rPr>
            <b/>
            <sz val="16"/>
            <color indexed="81"/>
            <rFont val="Tahoma"/>
            <family val="2"/>
          </rPr>
          <t>Paid 3rd Jan 2024</t>
        </r>
      </text>
    </comment>
    <comment ref="O1269" authorId="0" shapeId="0" xr:uid="{C657436D-21E4-4BDC-911C-51EB4F29F279}">
      <text>
        <r>
          <rPr>
            <b/>
            <sz val="28"/>
            <color indexed="81"/>
            <rFont val="Tahoma"/>
            <family val="2"/>
          </rPr>
          <t>Payment made - Sep 2023 - pending verification</t>
        </r>
      </text>
    </comment>
    <comment ref="I1322" authorId="0" shapeId="0" xr:uid="{373CBFC4-17F4-411D-A00B-722E24D80068}">
      <text>
        <r>
          <rPr>
            <b/>
            <sz val="22"/>
            <color indexed="81"/>
            <rFont val="Tahoma"/>
            <family val="2"/>
          </rPr>
          <t>N10K - Mar 10
N10K - Mar 26</t>
        </r>
      </text>
    </comment>
    <comment ref="R1323" authorId="0" shapeId="0" xr:uid="{8A2846B3-59F3-485F-8964-CA7B3784850A}">
      <text>
        <r>
          <rPr>
            <b/>
            <sz val="26"/>
            <color indexed="81"/>
            <rFont val="Tahoma"/>
            <family val="2"/>
          </rPr>
          <t>3rd - N10k
31st - N5k</t>
        </r>
      </text>
    </comment>
    <comment ref="O1324" authorId="0" shapeId="0" xr:uid="{FCC7975F-FB71-4827-8AD3-0125AFE2C35D}">
      <text>
        <r>
          <rPr>
            <b/>
            <sz val="14"/>
            <color indexed="81"/>
            <rFont val="Tahoma"/>
            <family val="2"/>
          </rPr>
          <t>No 0001587</t>
        </r>
      </text>
    </comment>
    <comment ref="R1324" authorId="0" shapeId="0" xr:uid="{A8CFC579-134C-49B0-9D23-875767FBEC6D}">
      <text>
        <r>
          <rPr>
            <b/>
            <sz val="9"/>
            <color indexed="81"/>
            <rFont val="Tahoma"/>
            <family val="2"/>
          </rPr>
          <t>oct 7 nov; paid dec 14</t>
        </r>
      </text>
    </comment>
    <comment ref="O1360" authorId="5" shapeId="0" xr:uid="{DCA7C861-DC97-4077-B4DD-DC142D50663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Note Mama Shola payment of N20k via Pos
Reply:
    Done</t>
      </text>
    </comment>
    <comment ref="G1403" authorId="0" shapeId="0" xr:uid="{171F1C99-9ACE-4FFE-B3A3-5C6A53B64145}">
      <text>
        <r>
          <rPr>
            <b/>
            <sz val="14"/>
            <color indexed="81"/>
            <rFont val="Tahoma"/>
            <family val="2"/>
          </rPr>
          <t>Paid 2nd Jan</t>
        </r>
      </text>
    </comment>
    <comment ref="P1404" authorId="0" shapeId="0" xr:uid="{87AE0EED-6C3A-4923-9274-67C93ACA7E04}">
      <text>
        <r>
          <rPr>
            <sz val="11"/>
            <color indexed="81"/>
            <rFont val="Tahoma"/>
            <family val="2"/>
          </rPr>
          <t>No 0001591</t>
        </r>
      </text>
    </comment>
    <comment ref="O1416" authorId="0" shapeId="0" xr:uid="{77D341CD-6187-4C04-8B52-D83DAC4B7CC2}">
      <text>
        <r>
          <rPr>
            <b/>
            <sz val="24"/>
            <color indexed="81"/>
            <rFont val="Tahoma"/>
            <family val="2"/>
          </rPr>
          <t>2 txns of 90k each
15th Sept
24th Sept</t>
        </r>
        <r>
          <rPr>
            <sz val="24"/>
            <color indexed="81"/>
            <rFont val="Tahoma"/>
            <family val="2"/>
          </rPr>
          <t xml:space="preserve">
</t>
        </r>
      </text>
    </comment>
    <comment ref="O1421" authorId="0" shapeId="0" xr:uid="{74E36931-3C0A-41A1-8099-2260362C1F57}">
      <text>
        <r>
          <rPr>
            <b/>
            <sz val="22"/>
            <color indexed="81"/>
            <rFont val="Tahoma"/>
            <family val="2"/>
          </rPr>
          <t>28TH SEPTEMBER (60,000)</t>
        </r>
      </text>
    </comment>
    <comment ref="M1476" authorId="0" shapeId="0" xr:uid="{3554A5A3-D2D6-4D02-AA44-B47336C9FC6B}">
      <text>
        <r>
          <rPr>
            <b/>
            <sz val="26"/>
            <color indexed="81"/>
            <rFont val="Tahoma"/>
            <family val="2"/>
          </rPr>
          <t>Jul 22nd - N10k
Jul 28th - N5k</t>
        </r>
      </text>
    </comment>
    <comment ref="G1485" authorId="0" shapeId="0" xr:uid="{61815D20-D7B9-4911-95B1-35AA575956F3}">
      <text>
        <r>
          <rPr>
            <b/>
            <sz val="22"/>
            <color indexed="81"/>
            <rFont val="Tahoma"/>
            <family val="2"/>
          </rPr>
          <t>receipt pending
15k on the 9th Jan
3k on the 10th Jan</t>
        </r>
      </text>
    </comment>
    <comment ref="P1486" authorId="0" shapeId="0" xr:uid="{91491AC4-B13E-4319-B7A8-BA6827CB46BF}">
      <text>
        <r>
          <rPr>
            <sz val="22"/>
            <color indexed="81"/>
            <rFont val="Tahoma"/>
            <family val="2"/>
          </rPr>
          <t>receipt pending</t>
        </r>
      </text>
    </comment>
    <comment ref="N1487" authorId="0" shapeId="0" xr:uid="{399618D6-EB3E-44A0-A33F-E917F3ABA9A8}">
      <text>
        <r>
          <rPr>
            <b/>
            <sz val="16"/>
            <color indexed="81"/>
            <rFont val="Tahoma"/>
            <family val="2"/>
          </rPr>
          <t xml:space="preserve">No evidence of original issue receipt
No 0001597 </t>
        </r>
      </text>
    </comment>
    <comment ref="P1534" authorId="0" shapeId="0" xr:uid="{A4FF1140-5DEC-4407-97B4-9792ED6AFFD8}">
      <text>
        <r>
          <rPr>
            <b/>
            <sz val="20"/>
            <color indexed="81"/>
            <rFont val="Tahoma"/>
            <family val="2"/>
          </rPr>
          <t>Oct 23 - Jul 24</t>
        </r>
      </text>
    </comment>
    <comment ref="O1542" authorId="0" shapeId="0" xr:uid="{769A3C96-0F34-4AA7-9BFA-9FFAF584C0B4}">
      <text>
        <r>
          <rPr>
            <b/>
            <sz val="20"/>
            <color indexed="81"/>
            <rFont val="Tahoma"/>
            <family val="2"/>
          </rPr>
          <t>Paid N44,500 - N2500 is for access card
10k - 27th Sept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553" authorId="0" shapeId="0" xr:uid="{C9E73FC8-155C-4C37-9B5A-482EC917F0C2}">
      <text>
        <r>
          <rPr>
            <b/>
            <sz val="28"/>
            <color indexed="81"/>
            <rFont val="Tahoma"/>
            <family val="2"/>
          </rPr>
          <t>3 payments 36K</t>
        </r>
      </text>
    </comment>
    <comment ref="M1572" authorId="0" shapeId="0" xr:uid="{A06DC822-45E6-40B0-9B6A-451EBB85EE01}">
      <text>
        <r>
          <rPr>
            <b/>
            <sz val="24"/>
            <color indexed="81"/>
            <rFont val="Tahoma"/>
            <family val="2"/>
          </rPr>
          <t>N15k - 7 July
N24k - 16 July</t>
        </r>
      </text>
    </comment>
    <comment ref="J1573" authorId="0" shapeId="0" xr:uid="{F059AB22-1BA9-4049-8575-B7BB0A64682A}">
      <text>
        <r>
          <rPr>
            <b/>
            <sz val="26"/>
            <color indexed="81"/>
            <rFont val="Tahoma"/>
            <family val="2"/>
          </rPr>
          <t>2 txns on 17th
Ezinne - 30k
Chioma - 36k</t>
        </r>
      </text>
    </comment>
    <comment ref="J1574" authorId="0" shapeId="0" xr:uid="{770F7084-F755-4CEF-AD16-DB4D3A05F8EA}">
      <text>
        <r>
          <rPr>
            <b/>
            <sz val="22"/>
            <color indexed="81"/>
            <rFont val="Tahoma"/>
            <family val="2"/>
          </rPr>
          <t xml:space="preserve">6th April - 10K
17th April - 10k
26th April - 10k
</t>
        </r>
      </text>
    </comment>
    <comment ref="J1592" authorId="0" shapeId="0" xr:uid="{AE7B2880-2571-4474-BAC9-F34BD4337808}">
      <text>
        <r>
          <rPr>
            <b/>
            <sz val="24"/>
            <color indexed="81"/>
            <rFont val="Tahoma"/>
            <family val="2"/>
          </rPr>
          <t>100k - 17th
50k - 22nd
103k - 28th</t>
        </r>
      </text>
    </comment>
    <comment ref="H1606" authorId="0" shapeId="0" xr:uid="{EE68D719-535C-4724-98A9-D83126EE087B}">
      <text>
        <r>
          <rPr>
            <b/>
            <sz val="24"/>
            <color indexed="81"/>
            <rFont val="Tahoma"/>
            <family val="2"/>
          </rPr>
          <t>Paid in Feb 4th 2024</t>
        </r>
      </text>
    </comment>
    <comment ref="P1655" authorId="0" shapeId="0" xr:uid="{E1F459F4-1617-428B-A90E-8A569F54FD13}">
      <text>
        <r>
          <rPr>
            <sz val="9"/>
            <color indexed="81"/>
            <rFont val="Tahoma"/>
            <family val="2"/>
          </rPr>
          <t>No 0001595</t>
        </r>
      </text>
    </comment>
    <comment ref="J1692" authorId="0" shapeId="0" xr:uid="{2022D1D7-E03E-4679-BC96-3C679EA05C3E}">
      <text>
        <r>
          <rPr>
            <b/>
            <sz val="48"/>
            <color indexed="81"/>
            <rFont val="Tahoma"/>
            <family val="2"/>
          </rPr>
          <t>N2M paid on the 22nd in 2 txns - 1.1M &amp; 900k
Total outstanding (Dev - 900k &amp; Security Dues - 485k) as @ Apr 2024 was 1.385M</t>
        </r>
      </text>
    </comment>
    <comment ref="G1729" authorId="0" shapeId="0" xr:uid="{2164E130-7F11-49E2-9301-C496DA01EB6F}">
      <text>
        <r>
          <rPr>
            <b/>
            <sz val="9"/>
            <color indexed="81"/>
            <rFont val="Tahoma"/>
            <family val="2"/>
          </rPr>
          <t>Unreceipted</t>
        </r>
      </text>
    </comment>
    <comment ref="O1788" authorId="0" shapeId="0" xr:uid="{BC699AD9-14B0-42B9-A930-C12B33C3F500}">
      <text>
        <r>
          <rPr>
            <b/>
            <sz val="28"/>
            <color indexed="81"/>
            <rFont val="Tahoma"/>
            <family val="2"/>
          </rPr>
          <t>MOVED IN TO OPERA 12TH SEPTEMBER 2021</t>
        </r>
      </text>
    </comment>
    <comment ref="G1864" authorId="0" shapeId="0" xr:uid="{C486C048-1074-48E0-93FF-878D855FCFAD}">
      <text>
        <r>
          <rPr>
            <b/>
            <sz val="24"/>
            <color indexed="81"/>
            <rFont val="Tahoma"/>
            <family val="2"/>
          </rPr>
          <t>Paid 27 Jan 2024</t>
        </r>
      </text>
    </comment>
    <comment ref="C1887" authorId="0" shapeId="0" xr:uid="{1B545126-E7A5-4819-89C5-E3831BC5D6DD}">
      <text>
        <r>
          <rPr>
            <b/>
            <sz val="26"/>
            <color indexed="81"/>
            <rFont val="Tahoma"/>
            <family val="2"/>
          </rPr>
          <t>EMEKA MELEKH EGWUONWU
parkout in September  '08037718859
paid 30,000 in Sept
LUCY IBIMIE B.
Move into OPERA on 16th Dec 2020</t>
        </r>
      </text>
    </comment>
    <comment ref="K1896" authorId="0" shapeId="0" xr:uid="{BF00CB34-7600-4180-B393-2FF42D458DFB}">
      <text>
        <r>
          <rPr>
            <b/>
            <sz val="22"/>
            <color indexed="81"/>
            <rFont val="Tahoma"/>
            <family val="2"/>
          </rPr>
          <t>Unreceipted</t>
        </r>
      </text>
    </comment>
    <comment ref="O1896" authorId="0" shapeId="0" xr:uid="{90B51749-D969-43F5-87A4-112E4D3A2F0F}">
      <text>
        <r>
          <rPr>
            <b/>
            <sz val="36"/>
            <color indexed="81"/>
            <rFont val="Tahoma"/>
            <family val="2"/>
          </rPr>
          <t>25k - 
15k - Sept 24</t>
        </r>
      </text>
    </comment>
    <comment ref="H1897" authorId="0" shapeId="0" xr:uid="{AC81B2DF-C84D-49C3-B1E6-7A356C25D800}">
      <text>
        <r>
          <rPr>
            <b/>
            <sz val="14"/>
            <color indexed="81"/>
            <rFont val="Tahoma"/>
            <family val="2"/>
          </rPr>
          <t>2 payments; 36K and 9K</t>
        </r>
      </text>
    </comment>
    <comment ref="G1935" authorId="0" shapeId="0" xr:uid="{174F72AA-6712-4B01-83DE-393B1DDDC370}">
      <text>
        <r>
          <rPr>
            <b/>
            <sz val="26"/>
            <color indexed="81"/>
            <rFont val="Tahoma"/>
            <family val="2"/>
          </rPr>
          <t>2 payments on the 27th - 36k &amp; 24K</t>
        </r>
      </text>
    </comment>
    <comment ref="I1948" authorId="0" shapeId="0" xr:uid="{3A5C2A4E-ACBA-478B-9743-A2A166688442}">
      <text>
        <r>
          <rPr>
            <b/>
            <sz val="26"/>
            <color indexed="81"/>
            <rFont val="Tahoma"/>
            <family val="2"/>
          </rPr>
          <t>Confirm date of N40k payment used to top up N80k KOA drainage donation for N120k Estate dues for 2025</t>
        </r>
      </text>
    </comment>
    <comment ref="G1965" authorId="0" shapeId="0" xr:uid="{2107B1DE-0F7C-4FDF-A16D-85342610C50D}">
      <text>
        <r>
          <rPr>
            <b/>
            <sz val="20"/>
            <color indexed="81"/>
            <rFont val="Tahoma"/>
            <family val="2"/>
          </rPr>
          <t>Paid 2nd Jan</t>
        </r>
      </text>
    </comment>
    <comment ref="M1965" authorId="6" shapeId="0" xr:uid="{D3EB5473-C6F2-46AE-8FF4-EC59F0B584C0}">
      <text>
        <t>[Threaded comment]
Your version of Excel allows you to read this threaded comment; however, any edits to it will get removed if the file is opened in a newer version of Excel. Learn more: https://go.microsoft.com/fwlink/?linkid=870924
Comment:
    Reconcilling - confirm if receipt was issued</t>
      </text>
    </comment>
    <comment ref="Q1966" authorId="0" shapeId="0" xr:uid="{757739F0-2104-4514-A3FD-C95056C5AFAA}">
      <text>
        <r>
          <rPr>
            <b/>
            <sz val="22"/>
            <color indexed="81"/>
            <rFont val="Tahoma"/>
            <family val="2"/>
          </rPr>
          <t>Paid Nov 1st</t>
        </r>
      </text>
    </comment>
    <comment ref="M2013" authorId="0" shapeId="0" xr:uid="{0536C751-2FBB-40CF-B5F1-CB6E4CA178D2}">
      <text>
        <r>
          <rPr>
            <b/>
            <sz val="24"/>
            <color indexed="81"/>
            <rFont val="Tahoma"/>
            <family val="2"/>
          </rPr>
          <t>Jul 22nd - 10k
Jul 28th - N15k</t>
        </r>
        <r>
          <rPr>
            <sz val="24"/>
            <color indexed="81"/>
            <rFont val="Tahoma"/>
            <family val="2"/>
          </rPr>
          <t xml:space="preserve">
</t>
        </r>
      </text>
    </comment>
    <comment ref="G2043" authorId="0" shapeId="0" xr:uid="{7BBD6963-C3EC-4A44-8AEB-075E3E595765}">
      <text>
        <r>
          <rPr>
            <b/>
            <sz val="18"/>
            <color indexed="81"/>
            <rFont val="Tahoma"/>
            <family val="2"/>
          </rPr>
          <t>Paid 16 Jan 2023</t>
        </r>
      </text>
    </comment>
    <comment ref="A2071" authorId="0" shapeId="0" xr:uid="{50D4B602-4BDD-4D17-9DBA-DA74EFBD8C29}">
      <text>
        <r>
          <rPr>
            <b/>
            <sz val="24"/>
            <color indexed="81"/>
            <rFont val="Tahoma"/>
            <family val="2"/>
          </rPr>
          <t>Confirm address</t>
        </r>
      </text>
    </comment>
    <comment ref="A2072" authorId="0" shapeId="0" xr:uid="{704D1ACC-1A23-4C86-B456-92B617474B5B}">
      <text>
        <r>
          <rPr>
            <b/>
            <sz val="24"/>
            <color indexed="81"/>
            <rFont val="Tahoma"/>
            <family val="2"/>
          </rPr>
          <t>Confirm address</t>
        </r>
      </text>
    </comment>
    <comment ref="H2096" authorId="0" shapeId="0" xr:uid="{8F2A20F7-2BD6-4F29-9B50-67913D697541}">
      <text>
        <r>
          <rPr>
            <b/>
            <sz val="24"/>
            <color indexed="81"/>
            <rFont val="Tahoma"/>
            <family val="2"/>
          </rPr>
          <t>N6k - Feb 3rd
3K - Feb 25th</t>
        </r>
        <r>
          <rPr>
            <sz val="24"/>
            <color indexed="81"/>
            <rFont val="Tahoma"/>
            <family val="2"/>
          </rPr>
          <t xml:space="preserve">
</t>
        </r>
      </text>
    </comment>
    <comment ref="J2096" authorId="0" shapeId="0" xr:uid="{259C94D7-4781-422C-9279-34371C82E83B}">
      <text>
        <r>
          <rPr>
            <b/>
            <sz val="22"/>
            <color indexed="81"/>
            <rFont val="Tahoma"/>
            <family val="2"/>
          </rPr>
          <t>28th April - 9k
28th April - 6k</t>
        </r>
      </text>
    </comment>
    <comment ref="N2098" authorId="0" shapeId="0" xr:uid="{3B10B4EF-4875-4477-8776-6871A3917FE5}">
      <text>
        <r>
          <rPr>
            <b/>
            <sz val="11"/>
            <color indexed="81"/>
            <rFont val="Tahoma"/>
            <family val="2"/>
          </rPr>
          <t>No 0001588</t>
        </r>
      </text>
    </comment>
    <comment ref="O2106" authorId="0" shapeId="0" xr:uid="{9D4CC95D-384D-44D5-95E9-9C93460D55D1}">
      <text>
        <r>
          <rPr>
            <b/>
            <sz val="24"/>
            <color indexed="81"/>
            <rFont val="Tahoma"/>
            <family val="2"/>
          </rPr>
          <t>68k &amp; 1k</t>
        </r>
      </text>
    </comment>
  </commentList>
</comments>
</file>

<file path=xl/sharedStrings.xml><?xml version="1.0" encoding="utf-8"?>
<sst xmlns="http://schemas.openxmlformats.org/spreadsheetml/2006/main" count="5384" uniqueCount="544">
  <si>
    <t xml:space="preserve">OLIVE PARK ESTATE RESIDENTS ASSOCIATION (OPERA) </t>
  </si>
  <si>
    <t>RESIDENTS SECURITY DUE ACCOUNT RECORD</t>
  </si>
  <si>
    <t>FIRST BANK PLC - ACCOUNT NOS : 2020 4737 25</t>
  </si>
  <si>
    <t>OJO KADIRI</t>
  </si>
  <si>
    <t>RESIDENT SECURITY DUES STATUS</t>
  </si>
  <si>
    <t>ACCOUNT DETAILS</t>
  </si>
  <si>
    <t>HOUSE NO'S</t>
  </si>
  <si>
    <t>STATUS</t>
  </si>
  <si>
    <t>NAMES OF RESIDENT</t>
  </si>
  <si>
    <t>CONTACTS</t>
  </si>
  <si>
    <t>YEAR</t>
  </si>
  <si>
    <t>(RATE)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</si>
  <si>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</si>
  <si>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</si>
  <si>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</si>
  <si>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</si>
  <si>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</si>
  <si>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</si>
  <si>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</si>
  <si>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</si>
  <si>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</si>
  <si>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</si>
  <si>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</si>
  <si>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</si>
  <si>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PAID</t>
  </si>
  <si>
    <t>DUE DEBT</t>
  </si>
  <si>
    <t>EMEKA ABARA (PASTOR)</t>
  </si>
  <si>
    <t>CHUKWUEMEKA FRANCIS</t>
  </si>
  <si>
    <t>LANDLORD</t>
  </si>
  <si>
    <r>
      <rPr>
        <sz val="33"/>
        <rFont val="Arial Rounded MT Bold"/>
        <family val="2"/>
      </rPr>
      <t>OPERA FIRST BANK ACCOUNT NOS</t>
    </r>
    <r>
      <rPr>
        <sz val="30"/>
        <rFont val="Arial Rounded MT Bold"/>
        <family val="2"/>
      </rPr>
      <t xml:space="preserve">                                                                              </t>
    </r>
    <r>
      <rPr>
        <sz val="36"/>
        <rFont val="Arial Black"/>
        <family val="2"/>
      </rPr>
      <t>2020 4737 25</t>
    </r>
    <r>
      <rPr>
        <sz val="30"/>
        <rFont val="Arial Rounded MT Bold"/>
        <family val="2"/>
      </rPr>
      <t xml:space="preserve">
</t>
    </r>
    <r>
      <rPr>
        <sz val="28"/>
        <rFont val="Arial Rounded MT Bold"/>
        <family val="2"/>
      </rPr>
      <t>LANDLORD/SELF-OCCUPIED BUILDING/TERRACE COMPOUND ETC =N= 5,000
OTHERS =N= 3,000</t>
    </r>
  </si>
  <si>
    <t>OJO.K</t>
  </si>
  <si>
    <t>HOUSE NO</t>
  </si>
  <si>
    <t>NAME OF RESIDENT</t>
  </si>
  <si>
    <t>PHONE NO</t>
  </si>
  <si>
    <t>YR</t>
  </si>
  <si>
    <t>CONSTANCE OKA</t>
  </si>
  <si>
    <t>08132680196</t>
  </si>
  <si>
    <t>SAMAILA ALEYIDEINO (HANANIYA  CALEB)</t>
  </si>
  <si>
    <t>08035636437</t>
  </si>
  <si>
    <t>BOLAJI KAYODE ESO</t>
  </si>
  <si>
    <t>ESO MOBOLAJI AGBOO</t>
  </si>
  <si>
    <t xml:space="preserve">EKOMOBONG UDUAKOBO moved in as Tenant in January 2021 </t>
  </si>
  <si>
    <t>She cleared her outstanding dues before moving out in November 2022</t>
  </si>
  <si>
    <t>9 A</t>
  </si>
  <si>
    <t>TAOFIK OLADELE ABASS</t>
  </si>
  <si>
    <t>House purchased by Alh Abass</t>
  </si>
  <si>
    <t>AZAMID CONSULT
Alfred Adetola
AFOLABI BANK-OLEMOH</t>
  </si>
  <si>
    <t>OPERA FIRST BANK ACCOUNT NOS                                                                              2020 4737 25
LANDLORD/SELF-OCCUPIED BUILDING/TERRACE COMPOUND ETC =N= 5,000
OTHERS =N= 3,000</t>
  </si>
  <si>
    <t>9 B</t>
  </si>
  <si>
    <t>ERNEST &amp; DAISY OBASEKI / OLUMIDE OLAWOLE AGU</t>
  </si>
  <si>
    <t>09051849000</t>
  </si>
  <si>
    <t>ERNEST AGHO JOHNBULL</t>
  </si>
  <si>
    <r>
      <rPr>
        <sz val="33"/>
        <rFont val="Arial Rounded MT Bold"/>
        <family val="2"/>
      </rPr>
      <t>OPERA FIRST BANK ACCOUNT NOS</t>
    </r>
    <r>
      <rPr>
        <sz val="30"/>
        <rFont val="Arial Rounded MT Bold"/>
        <family val="2"/>
      </rPr>
      <t xml:space="preserve">                                                                              </t>
    </r>
    <r>
      <rPr>
        <sz val="36"/>
        <rFont val="Arial Black"/>
        <family val="2"/>
      </rPr>
      <t>2020 4737 25</t>
    </r>
    <r>
      <rPr>
        <sz val="30"/>
        <rFont val="Arial Rounded MT Bold"/>
        <family val="2"/>
      </rPr>
      <t xml:space="preserve">
</t>
    </r>
    <r>
      <rPr>
        <sz val="28"/>
        <rFont val="Arial Rounded MT Bold"/>
        <family val="2"/>
      </rPr>
      <t>LANDLORD STATUS, SELF-OCCUPIED BUILDING/TERRACE COMPOUND ETC =N= 5,000
OTHERS =N= 3,000</t>
    </r>
  </si>
  <si>
    <t>9 C</t>
  </si>
  <si>
    <t>PRAISE HOUSE</t>
  </si>
  <si>
    <t>LANIYAN KUNLE
PHouseMoney - IGHALO MARGARET OS</t>
  </si>
  <si>
    <t>OPERA FIRST BANK ACCOUNT NOS                                                                              2020 4737 25
LANDLORD STATUS, SELF-OCCUPIED BUILDING/TERRACE COMPOUND ETC =N= 5,000
OTHERS =N= 3,000</t>
  </si>
  <si>
    <t>11 F-2</t>
  </si>
  <si>
    <t>OSA OSAHON MR.</t>
  </si>
  <si>
    <t xml:space="preserve"> </t>
  </si>
  <si>
    <t xml:space="preserve"> FLAT 2</t>
  </si>
  <si>
    <t>11 F-3</t>
  </si>
  <si>
    <t>OFOR LOVETH UCHE</t>
  </si>
  <si>
    <t>08094201726, 08038582676</t>
  </si>
  <si>
    <t>IFUDU LOVETH UCHE</t>
  </si>
  <si>
    <t>11 F-4</t>
  </si>
  <si>
    <t>OMONAYAJO ELIZABETH ABISOLA</t>
  </si>
  <si>
    <t>OLAWUNMI ELIZABETH</t>
  </si>
  <si>
    <t xml:space="preserve"> FLAT 4</t>
  </si>
  <si>
    <t>11 F-4b</t>
  </si>
  <si>
    <t>CHUKWUEBUKA CHRISTIAN IZUAGBA</t>
  </si>
  <si>
    <t>TIM AKENROYE (PASTOR) LANDLORD</t>
  </si>
  <si>
    <t>12BQ</t>
  </si>
  <si>
    <t>SAMUEL OLUWASEUN AJALA</t>
  </si>
  <si>
    <t>Account seperated from Landlord (Tim Akenroye)</t>
  </si>
  <si>
    <t>12 F-1</t>
  </si>
  <si>
    <t>ELELOYE OPEYEMI MOSES</t>
  </si>
  <si>
    <t>12 F-2</t>
  </si>
  <si>
    <t>GODSON UZOCHUKWU UKACHI</t>
  </si>
  <si>
    <t>12 F-3</t>
  </si>
  <si>
    <t xml:space="preserve"> FLAT 3</t>
  </si>
  <si>
    <t>12 F-4</t>
  </si>
  <si>
    <t>OYELEYE OYINDAMOLA</t>
  </si>
  <si>
    <t>TOMISIN OYELEYE</t>
  </si>
  <si>
    <t>08038433543</t>
  </si>
  <si>
    <t xml:space="preserve">HOUSE OF MERCY CHURCH </t>
  </si>
  <si>
    <t>PHILIPS C (APOSTLE)
CLAY TEMPLE</t>
  </si>
  <si>
    <t>14A</t>
  </si>
  <si>
    <t>SHUSHAN PHARMACY</t>
  </si>
  <si>
    <t>15 F-1</t>
  </si>
  <si>
    <t>AJEH OGORCHUKWU DAVID</t>
  </si>
  <si>
    <t>15 F-2</t>
  </si>
  <si>
    <t>PETER / GLORIA ILOEGBUNAM</t>
  </si>
  <si>
    <t xml:space="preserve"> FLAT 1</t>
  </si>
  <si>
    <t>15 F-3</t>
  </si>
  <si>
    <t>AZEEZ TOHEEB</t>
  </si>
  <si>
    <t>15 F-4</t>
  </si>
  <si>
    <t>OLAYEMI TUGBOBO MUSA</t>
  </si>
  <si>
    <t>08075599649</t>
  </si>
  <si>
    <t>16 A</t>
  </si>
  <si>
    <t>COVENANT ITAUMA</t>
  </si>
  <si>
    <t>16 B</t>
  </si>
  <si>
    <t>SONUBI BOLADALE PRINCE RICHARD</t>
  </si>
  <si>
    <t>08141608190,  07026094654</t>
  </si>
  <si>
    <t>Power Connection - 50K</t>
  </si>
  <si>
    <t>16 C</t>
  </si>
  <si>
    <t>SUSAN ONOME BADIRU</t>
  </si>
  <si>
    <t>SUSAN ONOME OPIRI</t>
  </si>
  <si>
    <t>16 D</t>
  </si>
  <si>
    <t>MR LEVI &amp; BARR. LOVE BRAIDE</t>
  </si>
  <si>
    <t>16 E</t>
  </si>
  <si>
    <t>BENSON ODUM TONDEA</t>
  </si>
  <si>
    <t>TONDEA ODUM</t>
  </si>
  <si>
    <t>16 F</t>
  </si>
  <si>
    <t>OLOSUNDE JAMES OLUWOLE</t>
  </si>
  <si>
    <t>BILL OGBUJI (BILDIAMO LTD - SKYMALL)</t>
  </si>
  <si>
    <t>SAMSON ONYEMA OGBU</t>
  </si>
  <si>
    <t>OFURIE PAUL</t>
  </si>
  <si>
    <t>CONTACT CSO</t>
  </si>
  <si>
    <t>18 B</t>
  </si>
  <si>
    <t>OSAGIE JOHN INEGBEDION MR.</t>
  </si>
  <si>
    <t>FELIX EWANSIHA</t>
  </si>
  <si>
    <t>EGHE OSAIGBOVO RALPHAEL</t>
  </si>
  <si>
    <t>SEGUN PHILIPS</t>
  </si>
  <si>
    <t>VACANT</t>
  </si>
  <si>
    <t>20 BQ</t>
  </si>
  <si>
    <t>20 F-1</t>
  </si>
  <si>
    <t>ADEBOWALE OLUSEGUN JOSHUA</t>
  </si>
  <si>
    <t>20 F-2</t>
  </si>
  <si>
    <t>NJOKU VICTOR</t>
  </si>
  <si>
    <t>GBENGA RAHEEM</t>
  </si>
  <si>
    <t>Adegoke Adeola Mary</t>
  </si>
  <si>
    <t>CITI BUILDINGS REA</t>
  </si>
  <si>
    <t>1 TENANT</t>
  </si>
  <si>
    <t>SEPT 2022  - PAID #180K OUTSTANDING SECURITY DUES</t>
  </si>
  <si>
    <t>BOLADE ORITOLA NASIR</t>
  </si>
  <si>
    <t>22 F-1</t>
  </si>
  <si>
    <t>ONYELUKACHUKWU IBE</t>
  </si>
  <si>
    <t>08037532416</t>
  </si>
  <si>
    <t>22 F-2</t>
  </si>
  <si>
    <t>22 F-3</t>
  </si>
  <si>
    <t>22 F-4</t>
  </si>
  <si>
    <t>DAMADON PROMISE MORGAN</t>
  </si>
  <si>
    <t>22 F-1b</t>
  </si>
  <si>
    <t>ANATE SAMUEL</t>
  </si>
  <si>
    <t>KAZEEM YUSUF</t>
  </si>
  <si>
    <t>MKH PROPERTIES LTD</t>
  </si>
  <si>
    <t>TERRACE BLOCK APARTMENTS</t>
  </si>
  <si>
    <t>11 TERRACE</t>
  </si>
  <si>
    <t>PAYMENT MADE SO FAR</t>
  </si>
  <si>
    <t>JUNE 350,000</t>
  </si>
  <si>
    <t>BLK 1</t>
  </si>
  <si>
    <t>JULY 5,000,000</t>
  </si>
  <si>
    <t>AUGUST 40,000</t>
  </si>
  <si>
    <t>BLK 2</t>
  </si>
  <si>
    <t>BLK 3</t>
  </si>
  <si>
    <t>BLK 4</t>
  </si>
  <si>
    <t>BLK 5</t>
  </si>
  <si>
    <t>BLK 6</t>
  </si>
  <si>
    <t>BLK 7</t>
  </si>
  <si>
    <t>BLK 8</t>
  </si>
  <si>
    <t>BLK 9</t>
  </si>
  <si>
    <t>BLK 10</t>
  </si>
  <si>
    <t>BLK 11</t>
  </si>
  <si>
    <t>IBRAHIM BABATUNDE</t>
  </si>
  <si>
    <t>ADEGOKE TUNDE</t>
  </si>
  <si>
    <t>Babatunde Oluwafemi Adegoke</t>
  </si>
  <si>
    <t>IBB</t>
  </si>
  <si>
    <t>3 A F-1</t>
  </si>
  <si>
    <t>3 A F-2</t>
  </si>
  <si>
    <t>AJISAFE OLUWASANMI</t>
  </si>
  <si>
    <t>OYEDARE GBENGA DAVID</t>
  </si>
  <si>
    <t xml:space="preserve">OYEDARE GBENGA DAVID - Paid #18,000 for 6 months security Due (Covering June 2022 - Nov 2022), on 6th Aug for Mr Ajisafe </t>
  </si>
  <si>
    <t xml:space="preserve">OYEDARE GBENGA DAVID - Paid #18,000 for 6 months security Due (Covering Dec 2022 - May 2023), on 30th Dec for Mr Ajisafe </t>
  </si>
  <si>
    <t>3 A F-3</t>
  </si>
  <si>
    <t>HENRY ITOKI</t>
  </si>
  <si>
    <t>07016699804</t>
  </si>
  <si>
    <t>3 A F-4</t>
  </si>
  <si>
    <t>CHIBUEZE NICHOLAS JAMES</t>
  </si>
  <si>
    <t>Ojo Kadiri, Ibrahim Babatunde, Gbolahan Bishi</t>
  </si>
  <si>
    <t>JAMES</t>
  </si>
  <si>
    <t xml:space="preserve">OYEDARE GBENGA DAVID - Paid #36,000 for 1 Year security Due (Covering Oct 2022 - Sept 2023), for Mr James </t>
  </si>
  <si>
    <t>The #36,000 should be deducted from the #66,000 he paid on 5th Apr 2023</t>
  </si>
  <si>
    <t>3</t>
  </si>
  <si>
    <t>ORAKAEZE KENNEDY OSSY</t>
  </si>
  <si>
    <t>DEVELOPMENT FEE</t>
  </si>
  <si>
    <t>4 PLOTS (2 IBB, 2 OJOK) UNDER DEVELOPMENT
DEV FEE @N500K PER PLOT PAID (2 TXNS OF 1M EACH; SECOND TXN WENT TO CDA ACCOUNT)</t>
  </si>
  <si>
    <t>3 ?
F ?</t>
  </si>
  <si>
    <t>MAXWELL MENSAH</t>
  </si>
  <si>
    <t xml:space="preserve"> CHIKE LAWRENCE OKEKE</t>
  </si>
  <si>
    <t>7, 6 &amp; 10 INTERIORS LTD</t>
  </si>
  <si>
    <t>MR CHIKE LAWRENCE OKEKE - NEW LANDLORD RENOVATION FEE 200,000 PLUS INITIAL DEBT OF THE BUILDING 230,000 = 430,000…..........100-430=330K BAL</t>
  </si>
  <si>
    <t>UWAYA BENJAMIN IYAPERAMHE</t>
  </si>
  <si>
    <t>7B</t>
  </si>
  <si>
    <t>AYOTOMIDE A. FALOMO</t>
  </si>
  <si>
    <t>PURCHASED HALF-PLOT -CREATING 7B IBB (SEPT 22, 2025)
DEV FEE PAID - N500K</t>
  </si>
  <si>
    <t>10 A</t>
  </si>
  <si>
    <t>CHUKWUMA BRIGHT UNAEGBU</t>
  </si>
  <si>
    <t>GOLDEN CHIDI</t>
  </si>
  <si>
    <t>10 B</t>
  </si>
  <si>
    <t>08189359308</t>
  </si>
  <si>
    <t>10 C</t>
  </si>
  <si>
    <t>PAUL BAMIGBAYAN</t>
  </si>
  <si>
    <t>UNDER RENOVATION</t>
  </si>
  <si>
    <t>Development Fee</t>
  </si>
  <si>
    <t>Under Renovation by Mr Chike</t>
  </si>
  <si>
    <t>ODUBUGWU JUSTIN CHIDERA</t>
  </si>
  <si>
    <t>AZUBUIKE JUSTIN</t>
  </si>
  <si>
    <t>16A</t>
  </si>
  <si>
    <t>EVELYN CHRISTIAN OKODUWA</t>
  </si>
  <si>
    <t>Balance from KOA account brought forward</t>
  </si>
  <si>
    <t>18 F-2</t>
  </si>
  <si>
    <t>UGWU EMMANUEL UDOCHUKWU</t>
  </si>
  <si>
    <t>18 F-3</t>
  </si>
  <si>
    <t>LANA ANIH</t>
  </si>
  <si>
    <t>PRINCE WOWO WEST</t>
  </si>
  <si>
    <t>18 F-4</t>
  </si>
  <si>
    <t>WILSON TOBIAS CHUKWU</t>
  </si>
  <si>
    <t>18 F-1</t>
  </si>
  <si>
    <t>OSINAMMA LIVINUS CHINONYE</t>
  </si>
  <si>
    <t>SANDRA ISIOMA MBAN</t>
  </si>
  <si>
    <t>SAM IBE</t>
  </si>
  <si>
    <t>Purchased Nov 2021 - Land is empty</t>
  </si>
  <si>
    <t>Puri Mall</t>
  </si>
  <si>
    <t>21A</t>
  </si>
  <si>
    <t>SHEHU AUDU</t>
  </si>
  <si>
    <t>Development Levy</t>
  </si>
  <si>
    <t>Development Levy - #200K paid on 31, July 2025
Balance - #250k</t>
  </si>
  <si>
    <t>21C</t>
  </si>
  <si>
    <t>HALIMA ABDULLAHI</t>
  </si>
  <si>
    <t>Development Levy - #200K paid on 31, August 2024
Balance - #250k</t>
  </si>
  <si>
    <t>PHONE NO'S</t>
  </si>
  <si>
    <t>21 B</t>
  </si>
  <si>
    <t>CHINENYE ESOEDO</t>
  </si>
  <si>
    <t>ESOEDO MICHELLE-GLORIA CHINENYE</t>
  </si>
  <si>
    <t>23 B</t>
  </si>
  <si>
    <t>ATSEYINKU ATITAN THEODORE</t>
  </si>
  <si>
    <t>Development Fees</t>
  </si>
  <si>
    <t>Total Due - N390K + N60K Security Dues
Paid Development Fees - N150K (Aug 30th), N250K (Jul 28 2025)</t>
  </si>
  <si>
    <t>23 C</t>
  </si>
  <si>
    <t>WILLIAMS AYEMERE UKOKOBILI</t>
  </si>
  <si>
    <t>Paid Development Fees - N150K, Power Connection - N50K</t>
  </si>
  <si>
    <t>MARKSON HEMBADOON</t>
  </si>
  <si>
    <t>08035519079</t>
  </si>
  <si>
    <t>BEST</t>
  </si>
  <si>
    <t>Transformer/Electricity Connection</t>
  </si>
  <si>
    <t>Development House Purchase Fee</t>
  </si>
  <si>
    <t>26 F-1</t>
  </si>
  <si>
    <t>ANYANWU CHINEDU KINGSLEY</t>
  </si>
  <si>
    <t>OLUFUNKE TITILOLA (F1)</t>
  </si>
  <si>
    <t>26 F-2</t>
  </si>
  <si>
    <t>CHUKS MBONU</t>
  </si>
  <si>
    <t>OLUFUNKE TITILOLA (F2)</t>
  </si>
  <si>
    <t>26 F-3</t>
  </si>
  <si>
    <t>MRS IKOLI</t>
  </si>
  <si>
    <t>Outstanding Dues from previous tenant</t>
  </si>
  <si>
    <t>OLUFUNKE TITILOLA (F3)</t>
  </si>
  <si>
    <t>26 F-4</t>
  </si>
  <si>
    <t>TOLULOPE AYODELE</t>
  </si>
  <si>
    <t>F</t>
  </si>
  <si>
    <t>OLUFUNKE TITILOLA (F4)</t>
  </si>
  <si>
    <t>CHRISTIAN PHILIPS (APOSTLE)</t>
  </si>
  <si>
    <t>27 B</t>
  </si>
  <si>
    <t>OSAWE WASHINGTON</t>
  </si>
  <si>
    <t>WASHINGTON - UNDER CONSTRUCTION</t>
  </si>
  <si>
    <t>Devlopment Fee of N450k paid on land purchase
N60k paid in May 2025 (support Estate Fund Drive)</t>
  </si>
  <si>
    <t>29 A</t>
  </si>
  <si>
    <t>BOBBY ITUA</t>
  </si>
  <si>
    <t>29 A BQ</t>
  </si>
  <si>
    <t>BARBARA IGBA</t>
  </si>
  <si>
    <t>Barbara Igba</t>
  </si>
  <si>
    <t>29 B</t>
  </si>
  <si>
    <t>VILLANOVA REALTY</t>
  </si>
  <si>
    <t>POWER CONN</t>
  </si>
  <si>
    <t>Ubah Karl Chinedu</t>
  </si>
  <si>
    <t>POWER CONN + DUES - N270K paid on 12th May 2025:
Nepa Connection - N150K
First Annual Security Due -  N120K</t>
  </si>
  <si>
    <t>UNDER CONSTRUTION (NKEM MR)</t>
  </si>
  <si>
    <t>CHUKWUKA ORJISON</t>
  </si>
  <si>
    <t>30 F-1</t>
  </si>
  <si>
    <t xml:space="preserve"> ONAIRTECH NIG LTD</t>
  </si>
  <si>
    <t>30 F-4</t>
  </si>
  <si>
    <t>IGBINADOLOR OSAYUKI</t>
  </si>
  <si>
    <t>31 F-1</t>
  </si>
  <si>
    <t>CHIGOZIE AGU</t>
  </si>
  <si>
    <t>LILIAN CHINENYE &amp; Rhemr/Rhemroyce Po POS</t>
  </si>
  <si>
    <t>31 F-2</t>
  </si>
  <si>
    <t>31 F-3</t>
  </si>
  <si>
    <t>VERONICA INYAN</t>
  </si>
  <si>
    <t>Margaret Akpo</t>
  </si>
  <si>
    <t>RIVERS GEENA ASUQUO</t>
  </si>
  <si>
    <t>31 F-4</t>
  </si>
  <si>
    <t>ADEOLA OLAJUBU</t>
  </si>
  <si>
    <t>32?</t>
  </si>
  <si>
    <t>JOSHUA ONUIGBO / CHRISTIAN OKWARA</t>
  </si>
  <si>
    <t xml:space="preserve">CHIEF OKORO </t>
  </si>
  <si>
    <t>ALPHONSUS OKORO</t>
  </si>
  <si>
    <t>ANGEL CREST</t>
  </si>
  <si>
    <t>AKINTAYO OLAWUNMI ELIZABETH</t>
  </si>
  <si>
    <t xml:space="preserve">NOT REACHABLE </t>
  </si>
  <si>
    <t>36A</t>
  </si>
  <si>
    <t>KEMCHUTA HOMES LIMITED</t>
  </si>
  <si>
    <t>SPECIAL ARRANGEMENT WITH EXCO TO PAY N150K ANNUAL AS COMMERCIAL</t>
  </si>
  <si>
    <t>36B</t>
  </si>
  <si>
    <t>SHAKIRUDEEN OLANREWAJU (ALAHJI)</t>
  </si>
  <si>
    <t>BAKRE OLARENWAJU ISHOL</t>
  </si>
  <si>
    <t>DEBIRUSS SCHOOL</t>
  </si>
  <si>
    <t xml:space="preserve">SIMEON KAYODE ONI </t>
  </si>
  <si>
    <t>GBOLAHAN BISHI</t>
  </si>
  <si>
    <t>1 A</t>
  </si>
  <si>
    <t>IFE KOMOLAFE ALABA OMO</t>
  </si>
  <si>
    <t>08166041445</t>
  </si>
  <si>
    <t>GLB</t>
  </si>
  <si>
    <t>PAID NEW RESIDENT/BUILDING PURCHSE FEE # 200K (IN MAY)</t>
  </si>
  <si>
    <t>PAID ANNUAL SECURITY DUE # 60K (IN MAY)</t>
  </si>
  <si>
    <t>1 B</t>
  </si>
  <si>
    <t>OGIEFA BARRY DAN</t>
  </si>
  <si>
    <t>Development</t>
  </si>
  <si>
    <t>NEW RESIDENT/BUILDING PURCHSE FEE # ?? _
PAID ANNUAL SECURITY DUE # ?? _
N250K - paid 27th September 2025</t>
  </si>
  <si>
    <t>2 A</t>
  </si>
  <si>
    <t>OBINWO OLUWATOBI EBENEZER</t>
  </si>
  <si>
    <t>ADEMESO MODUPE IFEOLUWA MOVED OUT IN JUNE</t>
  </si>
  <si>
    <t>2 B</t>
  </si>
  <si>
    <t>NJOKU MACDONALD EGWU</t>
  </si>
  <si>
    <t>3 A</t>
  </si>
  <si>
    <t>MICHAEL IWUOHA</t>
  </si>
  <si>
    <t>TROJANS MERCHANDISE</t>
  </si>
  <si>
    <t>FLAT 1</t>
  </si>
  <si>
    <t>3 B</t>
  </si>
  <si>
    <t>IKENNA MBACHU</t>
  </si>
  <si>
    <t>08039549968, 07083337660</t>
  </si>
  <si>
    <t>ALEX IGIRI OYOM</t>
  </si>
  <si>
    <t>NEW RESIDENT/BUILDING PURCHSE FEE # 200K</t>
  </si>
  <si>
    <t>ANNUAL SECURITY DUE # 60K</t>
  </si>
  <si>
    <t>PAULINUS / ISIOMA MONICA OBIAJULU</t>
  </si>
  <si>
    <t>5 A</t>
  </si>
  <si>
    <t>OKOLIE OZIOMA FRANCISCA</t>
  </si>
  <si>
    <t>OKOLI STEPHEN NDUBUEZE</t>
  </si>
  <si>
    <t>5 B</t>
  </si>
  <si>
    <t>CHARLES YEMI FARIMOYO</t>
  </si>
  <si>
    <t>WILLIAM RACHEAL TI</t>
  </si>
  <si>
    <t xml:space="preserve">MARK KAYODE OSHIN OTUNBA </t>
  </si>
  <si>
    <t>7A</t>
  </si>
  <si>
    <t>OSHODI ADETUTU MRS.</t>
  </si>
  <si>
    <t>7 B</t>
  </si>
  <si>
    <t>CHALOKWU EMMANUEL</t>
  </si>
  <si>
    <t>OKEREKE JAMES UKPA</t>
  </si>
  <si>
    <t xml:space="preserve">James &amp; Chidinma Okereke </t>
  </si>
  <si>
    <t>MENE GODWIN TONSEJU</t>
  </si>
  <si>
    <t>9 B F-1</t>
  </si>
  <si>
    <t>OBINNA CHIKE UBACHUKWU</t>
  </si>
  <si>
    <t>CHINEDU UBACHUKWU</t>
  </si>
  <si>
    <t>9 B F-2</t>
  </si>
  <si>
    <t>LAWRENCE EWAH</t>
  </si>
  <si>
    <t>9 D</t>
  </si>
  <si>
    <t>IMAEKE EJIKE KINGSLEY PASTOR.</t>
  </si>
  <si>
    <t>ADEYEMO ADETOKUNBO MRS</t>
  </si>
  <si>
    <t>MICAH SUNDAY UKAKA</t>
  </si>
  <si>
    <t xml:space="preserve">14 </t>
  </si>
  <si>
    <t>No 14 Gbolahan Bishi. (LL - MARTINA GETRUDE NKEMAKOLAM)
F1- Marvelous Omofuman
F2- Jacob Oloruntoba Goddey
F4- Michael Nwachuku</t>
  </si>
  <si>
    <t>ONASANYA DAMILARE EMMANUEL</t>
  </si>
  <si>
    <t>14 F-3</t>
  </si>
  <si>
    <t>Adesina Ronke</t>
  </si>
  <si>
    <t>MARY J</t>
  </si>
  <si>
    <t>GBOLAHAN BISHI / JUNAID LATEEF AJI</t>
  </si>
  <si>
    <t>TIJANI MUFUTAU ADETOKU</t>
  </si>
  <si>
    <t>16 BQ</t>
  </si>
  <si>
    <t>HAMZAT IBRAHIM OLANREWAJU</t>
  </si>
  <si>
    <t>17 A FLT 1</t>
  </si>
  <si>
    <t>CHRISTOPHER OUNORAH OKAFOR</t>
  </si>
  <si>
    <t xml:space="preserve"> Christian Onuorah</t>
  </si>
  <si>
    <t>OCHUAGBACHRIS CHINENYE</t>
  </si>
  <si>
    <t>17 A FLT 2</t>
  </si>
  <si>
    <t>SHOWEMIMO OLAREWAJU</t>
  </si>
  <si>
    <t>17  FLT 2</t>
  </si>
  <si>
    <t>NWORIE TOCHI PAUL</t>
  </si>
  <si>
    <t xml:space="preserve">19 </t>
  </si>
  <si>
    <t>EZINNE LEONA EGEJURU</t>
  </si>
  <si>
    <t>19?</t>
  </si>
  <si>
    <t>OKHUELEGBE CLETUS OMORIA</t>
  </si>
  <si>
    <t>Landlord: Hassan</t>
  </si>
  <si>
    <t>p</t>
  </si>
  <si>
    <t>19 A   F-1</t>
  </si>
  <si>
    <t>TIVERE IWETA EMMANUEL</t>
  </si>
  <si>
    <t>BLK 1/FLAT 1</t>
  </si>
  <si>
    <t>19 A    F-2</t>
  </si>
  <si>
    <t>ROSE EGODI NNALEUE</t>
  </si>
  <si>
    <t>BLK 1/FLAT 2</t>
  </si>
  <si>
    <t>19 A     F-3</t>
  </si>
  <si>
    <t>UGONMA EMEALI INNOCENCIA</t>
  </si>
  <si>
    <t>BLK 1/FLAT 3</t>
  </si>
  <si>
    <t>19 B    F-1</t>
  </si>
  <si>
    <t>19 B    F-2</t>
  </si>
  <si>
    <t>ANOSIKE CHIOMA LILIAN</t>
  </si>
  <si>
    <t>ANOSIKE EZINNE ANGELA</t>
  </si>
  <si>
    <t>BLK 2/FLAT 1 ONLY</t>
  </si>
  <si>
    <t>19 C    F-2</t>
  </si>
  <si>
    <t>GINIKA ASIEGBU MIS</t>
  </si>
  <si>
    <t>19 C     F-3</t>
  </si>
  <si>
    <t>Asiegbu David</t>
  </si>
  <si>
    <t>BLK 3/FLAT 2</t>
  </si>
  <si>
    <t>20    F-1</t>
  </si>
  <si>
    <t>PATRICIA IREMIREN</t>
  </si>
  <si>
    <t>fgn</t>
  </si>
  <si>
    <t>20    F-2</t>
  </si>
  <si>
    <t>ANIMASAHUN TEMITAYO JO</t>
  </si>
  <si>
    <t>20    F-3</t>
  </si>
  <si>
    <t>VICTOR ADJEI</t>
  </si>
  <si>
    <t>20    F-4</t>
  </si>
  <si>
    <t>JOVIA IFETOBO JOSE</t>
  </si>
  <si>
    <t>20    F-5</t>
  </si>
  <si>
    <t>KEN NWACHUKWU</t>
  </si>
  <si>
    <t>Seperated from the Lawyer</t>
  </si>
  <si>
    <t>20    F-6</t>
  </si>
  <si>
    <t xml:space="preserve"> FLAT 5</t>
  </si>
  <si>
    <t>20    F-7</t>
  </si>
  <si>
    <t xml:space="preserve"> FLAT 6</t>
  </si>
  <si>
    <t>20    F-8</t>
  </si>
  <si>
    <t>OKEDERE BENJAMIN</t>
  </si>
  <si>
    <t xml:space="preserve"> FLAT 7</t>
  </si>
  <si>
    <t>20   F-9</t>
  </si>
  <si>
    <t>EPETUKU GOODLUCK</t>
  </si>
  <si>
    <t xml:space="preserve">OYEDARE GBENGA DAVID - Paid #36,000 for 1 Year security Due (Covering Aug 2022 - July 2023), for Mr Epetuku </t>
  </si>
  <si>
    <t>#30,000 should be deducted from the #66,000 he paid on 5th Apr 2023</t>
  </si>
  <si>
    <t>While #6,000 should be deducted from the #6,000 he paid on 10th May 2023</t>
  </si>
  <si>
    <t>HASSAN  OGWE</t>
  </si>
  <si>
    <t>21</t>
  </si>
  <si>
    <t>Payment Date</t>
  </si>
  <si>
    <t>Amount</t>
  </si>
  <si>
    <t>No of Months</t>
  </si>
  <si>
    <t>Coverage</t>
  </si>
  <si>
    <t>Remarks</t>
  </si>
  <si>
    <t>Dec 22 - Sep 23</t>
  </si>
  <si>
    <t>First month (Nov22) free</t>
  </si>
  <si>
    <t>Oct 23 - mar 24</t>
  </si>
  <si>
    <t>2k surplus</t>
  </si>
  <si>
    <t>Apr 24 - July 24</t>
  </si>
  <si>
    <t>12k using previous 2k surplus</t>
  </si>
  <si>
    <t>Dev levy - 900k (Paid)</t>
  </si>
  <si>
    <t>Aug 24 - Nov 24</t>
  </si>
  <si>
    <t>Dec 24 oustatnding</t>
  </si>
  <si>
    <t>Price increase N5k per month - N10K per month</t>
  </si>
  <si>
    <t>KAYODE ONI ANIMASHAUN</t>
  </si>
  <si>
    <t>Jan 25 - Jun 25</t>
  </si>
  <si>
    <t>1A</t>
  </si>
  <si>
    <t>MICHAEL FESTUS IHEKWOABA</t>
  </si>
  <si>
    <t>KOA</t>
  </si>
  <si>
    <t>1B</t>
  </si>
  <si>
    <t>IWUOHA CHRISTIAN CHINONSO</t>
  </si>
  <si>
    <t>07011162519</t>
  </si>
  <si>
    <t>ANTHONY / OLABISI OLUWAKEMI EGRI-OKWAJI</t>
  </si>
  <si>
    <t>WAREHOUSE- RENTAL SERVICE</t>
  </si>
  <si>
    <t xml:space="preserve">OYAWOYE OLUMIDE                                        </t>
  </si>
  <si>
    <t>BRIGHT IBAKI</t>
  </si>
  <si>
    <t>08037120829</t>
  </si>
  <si>
    <t>3 C</t>
  </si>
  <si>
    <t xml:space="preserve">OLAOGUN OMOTAYO-DONFLAN </t>
  </si>
  <si>
    <t>OLUWAFEMI OLAOGUN</t>
  </si>
  <si>
    <t>OLORUNTOLA ABIOLA</t>
  </si>
  <si>
    <t>OLORUNTOLA TEMI</t>
  </si>
  <si>
    <t>OYAWOYE OLUMIDE paid for his tenants from his bank account</t>
  </si>
  <si>
    <t>OYESANMI OMOLADE KEHINDE DR.</t>
  </si>
  <si>
    <t>Omokehinde Patrick</t>
  </si>
  <si>
    <t>7</t>
  </si>
  <si>
    <t>STANLEY NWORAH</t>
  </si>
  <si>
    <t>.</t>
  </si>
  <si>
    <t>7 A</t>
  </si>
  <si>
    <t>OYAWOYE OLUMIDE</t>
  </si>
  <si>
    <t>Brown gate</t>
  </si>
  <si>
    <t>JOHN ERIAGBON, SIR.</t>
  </si>
  <si>
    <t>ENGR ERAPI EDWARD</t>
  </si>
  <si>
    <t>10   F-6</t>
  </si>
  <si>
    <t>DAVID OLEM LUKPATA</t>
  </si>
  <si>
    <t>FLAT 4</t>
  </si>
  <si>
    <t>10   F-5</t>
  </si>
  <si>
    <t>BONIFACE OBIJIAKU MR.</t>
  </si>
  <si>
    <t>Palmpay/  EMMANUEL MMADUABUCHUK</t>
  </si>
  <si>
    <t>10   F-3</t>
  </si>
  <si>
    <t>LUCY IBIMIE BENSTOWE</t>
  </si>
  <si>
    <t>FLAT 3</t>
  </si>
  <si>
    <t>10   F-4</t>
  </si>
  <si>
    <t>MRS BANKE BAYO OJO</t>
  </si>
  <si>
    <t>Ojo Bayo</t>
  </si>
  <si>
    <t>Temioluwa Esther Adebayo</t>
  </si>
  <si>
    <t>10    F-?</t>
  </si>
  <si>
    <t>EMMANUEL PELUMI OLAYINKA</t>
  </si>
  <si>
    <t>OLAYINKA VICTOR</t>
  </si>
  <si>
    <t>FLAT 5</t>
  </si>
  <si>
    <t>10    F-1</t>
  </si>
  <si>
    <t>SAMSON IDAKWO UGBEDE</t>
  </si>
  <si>
    <t>10    F-2</t>
  </si>
  <si>
    <t>RABIU OLAMIDE AGBOOLA</t>
  </si>
  <si>
    <t>13 A</t>
  </si>
  <si>
    <t>EMEKA OKAFOR (PASTOR)</t>
  </si>
  <si>
    <t>ANWULI OKAFOR</t>
  </si>
  <si>
    <t>ODERA OKAFOR</t>
  </si>
  <si>
    <t>13 B</t>
  </si>
  <si>
    <t>ASUQUO EDET / EDAK INIUKIM</t>
  </si>
  <si>
    <t>ESCODAK Investments</t>
  </si>
  <si>
    <t>STELLA AKINTADE, CP.</t>
  </si>
  <si>
    <t>JOMEA INVESTMENT A</t>
  </si>
  <si>
    <t>15   F-1</t>
  </si>
  <si>
    <t>Jan 2025 - Moved to 16A IBB. 
N6K balance transferred to new account</t>
  </si>
  <si>
    <t>15    F-2</t>
  </si>
  <si>
    <t>MARTINS AWONUSI</t>
  </si>
  <si>
    <t>15    F-3</t>
  </si>
  <si>
    <t>ESTHER DIKE</t>
  </si>
  <si>
    <t>17   F-1</t>
  </si>
  <si>
    <t>OSUNRINADE IBUKUNOLUWA OLADEI</t>
  </si>
  <si>
    <t>17    F-2</t>
  </si>
  <si>
    <t>NNANI  JOHNSON CHUDI</t>
  </si>
  <si>
    <t>17    F-3</t>
  </si>
  <si>
    <t>BECKY ELOHO PATRICK</t>
  </si>
  <si>
    <t>17    F-4</t>
  </si>
  <si>
    <t>CHUKWUDI GODDAY EMMANUEL</t>
  </si>
  <si>
    <t xml:space="preserve">17 </t>
  </si>
  <si>
    <t>ABODUNDE YEMI</t>
  </si>
  <si>
    <t>Abodunde Oluyemi</t>
  </si>
  <si>
    <t>17 BQ</t>
  </si>
  <si>
    <t>OLADOTUN AYENI</t>
  </si>
  <si>
    <t>NWORIE PAUL TOCHIE</t>
  </si>
  <si>
    <t>17 B</t>
  </si>
  <si>
    <t>18 A</t>
  </si>
  <si>
    <t>FEYIJIMI ADEWOLE</t>
  </si>
  <si>
    <t>18  B</t>
  </si>
  <si>
    <t>IKECHUKWU NNEKA CHARITY</t>
  </si>
  <si>
    <t>18  F  1</t>
  </si>
  <si>
    <t>OPARAH CHRISTIAN ONYEKACHI</t>
  </si>
  <si>
    <t>IBUKUN GANIYAT ADEFOWOKAN</t>
  </si>
  <si>
    <t>18  F  2</t>
  </si>
  <si>
    <t>19 A D-1</t>
  </si>
  <si>
    <t>UNDER CONSTRUCTION</t>
  </si>
  <si>
    <t>DEVELOPMENT LEVY #500k</t>
  </si>
  <si>
    <t>19 A D-2</t>
  </si>
  <si>
    <t>19 B</t>
  </si>
  <si>
    <t>IBRAHIM JUNAID DANJUMA</t>
  </si>
  <si>
    <t>BUILDING RENOVATION FEE #260k</t>
  </si>
  <si>
    <t>BACK BUILDING APARTMENT</t>
  </si>
  <si>
    <t>TOTAL AMOUNT AMOUNT PAID #500K</t>
  </si>
  <si>
    <t>PAYMENT</t>
  </si>
  <si>
    <t>JAN - 150K</t>
  </si>
  <si>
    <t>BUILDING RENOVATION FEE # 260K</t>
  </si>
  <si>
    <t>MARCH - 150K</t>
  </si>
  <si>
    <t>BALANCE FOR SECURITY DUE 240</t>
  </si>
  <si>
    <t>MAY - 200K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</si>
</sst>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[$-409]dd\-mmm\-yy;@"/>
  </numFmts>
  <fonts count="112" x14ac:knownFonts="1">
    <font>
      <sz val="11"/>
      <color theme="1"/>
      <name val="Corbel"/>
      <family val="2"/>
      <scheme val="minor"/>
    </font>
    <font>
      <sz val="11"/>
      <color theme="1"/>
      <name val="Corbel"/>
      <family val="2"/>
      <scheme val="minor"/>
    </font>
    <font>
      <sz val="11"/>
      <color theme="0"/>
      <name val="Corbel"/>
      <family val="2"/>
      <scheme val="minor"/>
    </font>
    <font>
      <sz val="72"/>
      <name val="Arial Rounded MT Bold"/>
      <family val="2"/>
    </font>
    <font>
      <sz val="60"/>
      <color theme="0"/>
      <name val="Arial Black"/>
      <family val="2"/>
    </font>
    <font>
      <sz val="44"/>
      <name val="Arial Rounded MT Bold"/>
      <family val="2"/>
    </font>
    <font>
      <u/>
      <sz val="72"/>
      <color theme="0"/>
      <name val="Arial Rounded MT Bold"/>
      <family val="2"/>
    </font>
    <font>
      <sz val="30"/>
      <name val="Arial Rounded MT Bold"/>
      <family val="2"/>
    </font>
    <font>
      <sz val="26"/>
      <name val="Arial Rounded MT Bold"/>
      <family val="2"/>
    </font>
    <font>
      <sz val="26"/>
      <color theme="0"/>
      <name val="Arial Rounded MT Bold"/>
      <family val="2"/>
    </font>
    <font>
      <sz val="20"/>
      <name val="Arial Rounded MT Bold"/>
      <family val="2"/>
    </font>
    <font>
      <sz val="25"/>
      <name val="Arial Rounded MT Bold"/>
      <family val="2"/>
    </font>
    <font>
      <b/>
      <sz val="20"/>
      <name val="Arial Rounded MT Bold"/>
      <family val="2"/>
    </font>
    <font>
      <sz val="48"/>
      <name val="Arial Rounded MT Bold"/>
      <family val="2"/>
    </font>
    <font>
      <b/>
      <sz val="26"/>
      <name val="Arial Rounded MT Bold"/>
      <family val="2"/>
    </font>
    <font>
      <b/>
      <sz val="30"/>
      <name val="Arial Rounded MT Bold"/>
      <family val="2"/>
    </font>
    <font>
      <sz val="33"/>
      <name val="Arial Rounded MT Bold"/>
      <family val="2"/>
    </font>
    <font>
      <sz val="36"/>
      <name val="Arial Black"/>
      <family val="2"/>
    </font>
    <font>
      <sz val="28"/>
      <name val="Arial Rounded MT Bold"/>
      <family val="2"/>
    </font>
    <font>
      <b/>
      <sz val="30"/>
      <color theme="0"/>
      <name val="Arial Black"/>
      <family val="2"/>
    </font>
    <font>
      <sz val="30"/>
      <color theme="1"/>
      <name val="Corbel"/>
      <family val="2"/>
      <scheme val="minor"/>
    </font>
    <font>
      <sz val="22"/>
      <name val="Arial Rounded MT Bold"/>
      <family val="2"/>
    </font>
    <font>
      <sz val="36"/>
      <name val="Arial Rounded MT Bold"/>
      <family val="2"/>
    </font>
    <font>
      <sz val="33"/>
      <color rgb="FF00B0F0"/>
      <name val="Arial Rounded MT Bold"/>
      <family val="2"/>
    </font>
    <font>
      <sz val="30"/>
      <color theme="1"/>
      <name val="Arial Rounded MT Bold"/>
      <family val="2"/>
    </font>
    <font>
      <b/>
      <i/>
      <sz val="26"/>
      <name val="Arial Rounded MT Bold"/>
      <family val="2"/>
    </font>
    <font>
      <sz val="40"/>
      <name val="Arial Rounded MT Bold"/>
      <family val="2"/>
    </font>
    <font>
      <sz val="25"/>
      <color theme="1"/>
      <name val="Corbel"/>
      <family val="2"/>
      <scheme val="minor"/>
    </font>
    <font>
      <sz val="26"/>
      <color theme="1"/>
      <name val="Corbel"/>
      <family val="2"/>
      <scheme val="minor"/>
    </font>
    <font>
      <sz val="30"/>
      <color rgb="FFFF0000"/>
      <name val="Arial Rounded MT Bold"/>
      <family val="2"/>
    </font>
    <font>
      <b/>
      <sz val="36"/>
      <name val="Corbel"/>
      <family val="2"/>
      <scheme val="minor"/>
    </font>
    <font>
      <b/>
      <sz val="26"/>
      <color rgb="FFFF0000"/>
      <name val="Arial Rounded MT Bold"/>
      <family val="2"/>
    </font>
    <font>
      <b/>
      <sz val="28"/>
      <name val="Arial Rounded MT Bold"/>
      <family val="2"/>
    </font>
    <font>
      <b/>
      <sz val="28"/>
      <color theme="0"/>
      <name val="Arial Black"/>
      <family val="2"/>
    </font>
    <font>
      <b/>
      <sz val="26"/>
      <color theme="1"/>
      <name val="Arial Rounded MT Bold"/>
      <family val="2"/>
    </font>
    <font>
      <b/>
      <sz val="26"/>
      <color theme="0"/>
      <name val="Arial Rounded MT Bold"/>
      <family val="2"/>
    </font>
    <font>
      <sz val="50"/>
      <color theme="1"/>
      <name val="Arial Black"/>
      <family val="2"/>
    </font>
    <font>
      <sz val="30"/>
      <color theme="0"/>
      <name val="Arial Rounded MT Bold"/>
      <family val="2"/>
    </font>
    <font>
      <b/>
      <sz val="25"/>
      <color theme="1"/>
      <name val="Arial Black"/>
      <family val="2"/>
    </font>
    <font>
      <sz val="30"/>
      <color theme="1"/>
      <name val="Arial"/>
      <family val="2"/>
    </font>
    <font>
      <sz val="20"/>
      <color theme="1"/>
      <name val="Arial"/>
      <family val="2"/>
    </font>
    <font>
      <sz val="26"/>
      <color theme="1"/>
      <name val="Arial Rounded MT Bold"/>
      <family val="2"/>
    </font>
    <font>
      <b/>
      <sz val="30"/>
      <color theme="1"/>
      <name val="Arial Rounded MT Bold"/>
      <family val="2"/>
    </font>
    <font>
      <b/>
      <sz val="26"/>
      <color theme="1"/>
      <name val="Corbel"/>
      <family val="2"/>
      <scheme val="minor"/>
    </font>
    <font>
      <b/>
      <sz val="26"/>
      <color theme="1"/>
      <name val="Arial"/>
      <family val="2"/>
    </font>
    <font>
      <b/>
      <sz val="26"/>
      <name val="Corbel"/>
      <family val="2"/>
      <scheme val="minor"/>
    </font>
    <font>
      <sz val="48"/>
      <color theme="1"/>
      <name val="Arial Rounded MT Bold"/>
      <family val="2"/>
    </font>
    <font>
      <sz val="44"/>
      <color theme="1"/>
      <name val="Arial Rounded MT Bold"/>
      <family val="2"/>
    </font>
    <font>
      <sz val="28"/>
      <color theme="1"/>
      <name val="Arial Rounded MT Bold"/>
      <family val="2"/>
    </font>
    <font>
      <sz val="26"/>
      <color rgb="FFFF0000"/>
      <name val="Arial Rounded MT Bold"/>
      <family val="2"/>
    </font>
    <font>
      <b/>
      <sz val="30"/>
      <color rgb="FFFFFFFF"/>
      <name val="Arial Black"/>
      <family val="2"/>
    </font>
    <font>
      <b/>
      <sz val="36"/>
      <name val="Arial Rounded MT Bold"/>
      <family val="2"/>
    </font>
    <font>
      <b/>
      <sz val="20"/>
      <color theme="1"/>
      <name val="Corbel"/>
      <family val="2"/>
      <scheme val="minor"/>
    </font>
    <font>
      <b/>
      <sz val="20"/>
      <color theme="1"/>
      <name val="Arial"/>
      <family val="2"/>
    </font>
    <font>
      <b/>
      <sz val="22"/>
      <name val="Corbel"/>
      <family val="2"/>
      <scheme val="minor"/>
    </font>
    <font>
      <b/>
      <sz val="25"/>
      <color theme="1"/>
      <name val="Arial"/>
      <family val="2"/>
    </font>
    <font>
      <sz val="22"/>
      <color theme="0"/>
      <name val="Arial Rounded MT Bold"/>
      <family val="2"/>
    </font>
    <font>
      <sz val="25"/>
      <color theme="1"/>
      <name val="Arial Rounded MT Bold"/>
      <family val="2"/>
    </font>
    <font>
      <sz val="36"/>
      <color theme="1"/>
      <name val="Corbel"/>
      <family val="2"/>
      <scheme val="minor"/>
    </font>
    <font>
      <sz val="12"/>
      <color theme="1"/>
      <name val="Corbel"/>
      <family val="2"/>
      <scheme val="minor"/>
    </font>
    <font>
      <sz val="45"/>
      <color theme="1"/>
      <name val="Arial Rounded MT Bold"/>
      <family val="2"/>
    </font>
    <font>
      <sz val="30"/>
      <color rgb="FFC00000"/>
      <name val="Arial Rounded MT Bold"/>
      <family val="2"/>
    </font>
    <font>
      <u/>
      <sz val="26"/>
      <name val="Arial Rounded MT Bold"/>
      <family val="2"/>
    </font>
    <font>
      <b/>
      <sz val="72"/>
      <color theme="1"/>
      <name val="Arial Black"/>
      <family val="2"/>
    </font>
    <font>
      <sz val="20"/>
      <color theme="1"/>
      <name val="Corbel"/>
      <family val="2"/>
      <scheme val="minor"/>
    </font>
    <font>
      <b/>
      <sz val="16"/>
      <name val="Corbel"/>
      <family val="2"/>
      <scheme val="minor"/>
    </font>
    <font>
      <b/>
      <sz val="22"/>
      <color theme="1"/>
      <name val="Arial Rounded MT Bold"/>
      <family val="2"/>
    </font>
    <font>
      <sz val="22"/>
      <color theme="1"/>
      <name val="Arial Rounded MT Bold"/>
      <family val="2"/>
    </font>
    <font>
      <sz val="25"/>
      <color rgb="FF000000"/>
      <name val="Arial Rounded MT Bold"/>
      <family val="2"/>
    </font>
    <font>
      <b/>
      <sz val="48"/>
      <color theme="1"/>
      <name val="Corbel"/>
      <family val="2"/>
      <scheme val="minor"/>
    </font>
    <font>
      <b/>
      <sz val="25"/>
      <name val="Arial"/>
      <family val="2"/>
    </font>
    <font>
      <b/>
      <sz val="25"/>
      <name val="Arial Rounded MT Bold"/>
      <family val="2"/>
    </font>
    <font>
      <b/>
      <sz val="25"/>
      <color theme="1"/>
      <name val="Arial Rounded MT Bold"/>
      <family val="2"/>
    </font>
    <font>
      <sz val="36"/>
      <color theme="1"/>
      <name val="Arial Rounded MT Bold"/>
      <family val="2"/>
    </font>
    <font>
      <sz val="40"/>
      <color theme="1"/>
      <name val="Arial Rounded MT Bold"/>
      <family val="2"/>
    </font>
    <font>
      <sz val="48"/>
      <color theme="0"/>
      <name val="Arial Rounded MT Bold"/>
      <family val="2"/>
    </font>
    <font>
      <sz val="30"/>
      <name val="Corbel"/>
      <family val="2"/>
      <scheme val="minor"/>
    </font>
    <font>
      <sz val="48"/>
      <color theme="1"/>
      <name val="Corbel"/>
      <family val="2"/>
      <scheme val="minor"/>
    </font>
    <font>
      <sz val="72"/>
      <color theme="1"/>
      <name val="Arial Black"/>
      <family val="2"/>
    </font>
    <font>
      <sz val="48"/>
      <color theme="1"/>
      <name val="Arial Black"/>
      <family val="2"/>
    </font>
    <font>
      <sz val="16"/>
      <color rgb="FFF7F7F7"/>
      <name val="Arial Rounded MT Bold"/>
      <family val="2"/>
    </font>
    <font>
      <sz val="45"/>
      <color theme="1"/>
      <name val="Arial Black"/>
      <family val="2"/>
    </font>
    <font>
      <b/>
      <sz val="24"/>
      <color theme="1"/>
      <name val="Arial Rounded MT Bold"/>
      <family val="2"/>
    </font>
    <font>
      <sz val="24"/>
      <name val="Arial Rounded MT Bold"/>
      <family val="2"/>
    </font>
    <font>
      <sz val="24"/>
      <color theme="1"/>
      <name val="Arial Rounded MT Bold"/>
      <family val="2"/>
    </font>
    <font>
      <b/>
      <sz val="22"/>
      <name val="Arial Rounded MT Bold"/>
      <family val="2"/>
    </font>
    <font>
      <sz val="36"/>
      <color theme="1"/>
      <name val="Arial Black"/>
      <family val="2"/>
    </font>
    <font>
      <sz val="38"/>
      <color theme="1"/>
      <name val="Arial Black"/>
      <family val="2"/>
    </font>
    <font>
      <sz val="40"/>
      <color theme="1"/>
      <name val="Arial Black"/>
      <family val="2"/>
    </font>
    <font>
      <sz val="25"/>
      <color theme="0"/>
      <name val="Arial Rounded MT Bold"/>
      <family val="2"/>
    </font>
    <font>
      <sz val="39"/>
      <color theme="1"/>
      <name val="Arial Black"/>
      <family val="2"/>
    </font>
    <font>
      <b/>
      <sz val="25"/>
      <color theme="0"/>
      <name val="Arial Rounded MT Bold"/>
      <family val="2"/>
    </font>
    <font>
      <sz val="35"/>
      <color theme="1"/>
      <name val="Arial Black"/>
      <family val="2"/>
    </font>
    <font>
      <b/>
      <sz val="20"/>
      <color indexed="81"/>
      <name val="Tahoma"/>
      <family val="2"/>
    </font>
    <font>
      <b/>
      <sz val="26"/>
      <color indexed="81"/>
      <name val="Tahoma"/>
      <family val="2"/>
    </font>
    <font>
      <b/>
      <sz val="24"/>
      <color indexed="81"/>
      <name val="Tahoma"/>
      <family val="2"/>
    </font>
    <font>
      <b/>
      <sz val="14"/>
      <color indexed="81"/>
      <name val="Tahoma"/>
      <family val="2"/>
    </font>
    <font>
      <b/>
      <sz val="22"/>
      <color indexed="81"/>
      <name val="Tahoma"/>
      <family val="2"/>
    </font>
    <font>
      <sz val="26"/>
      <color indexed="81"/>
      <name val="Tahoma"/>
      <family val="2"/>
    </font>
    <font>
      <sz val="11"/>
      <color indexed="81"/>
      <name val="Tahoma"/>
      <family val="2"/>
    </font>
    <font>
      <b/>
      <sz val="16"/>
      <color indexed="81"/>
      <name val="Tahoma"/>
      <family val="2"/>
    </font>
    <font>
      <b/>
      <sz val="36"/>
      <color indexed="81"/>
      <name val="Tahoma"/>
      <family val="2"/>
    </font>
    <font>
      <sz val="36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8"/>
      <color indexed="81"/>
      <name val="Tahoma"/>
      <family val="2"/>
    </font>
    <font>
      <sz val="22"/>
      <color indexed="81"/>
      <name val="Tahoma"/>
      <family val="2"/>
    </font>
    <font>
      <sz val="24"/>
      <color indexed="81"/>
      <name val="Tahoma"/>
      <family val="2"/>
    </font>
    <font>
      <b/>
      <sz val="18"/>
      <color indexed="81"/>
      <name val="Tahoma"/>
      <family val="2"/>
    </font>
    <font>
      <b/>
      <sz val="48"/>
      <color indexed="81"/>
      <name val="Tahoma"/>
      <family val="2"/>
    </font>
    <font>
      <b/>
      <sz val="11"/>
      <color indexed="81"/>
      <name val="Tahoma"/>
      <family val="2"/>
    </font>
    <font>
      <sz val="9"/>
      <color indexed="81"/>
      <name val="Tahoma"/>
      <charset val="1"/>
    </font>
  </fonts>
  <fills count="28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766">
    <xf numFmtId="0" fontId="0" fillId="0" borderId="0" xfId="0"/>
    <xf numFmtId="0" fontId="3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0" borderId="0" xfId="0" applyFont="1" applyAlignment="1">
      <alignment vertical="center"/>
    </xf>
    <xf numFmtId="0" fontId="5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/>
    <xf numFmtId="3" fontId="7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7" fillId="5" borderId="2" xfId="1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 wrapText="1"/>
    </xf>
    <xf numFmtId="18" fontId="8" fillId="0" borderId="0" xfId="0" quotePrefix="1" applyNumberFormat="1" applyFont="1" applyAlignment="1">
      <alignment horizontal="center"/>
    </xf>
    <xf numFmtId="0" fontId="8" fillId="0" borderId="0" xfId="0" applyFont="1"/>
    <xf numFmtId="0" fontId="9" fillId="0" borderId="0" xfId="0" quotePrefix="1" applyFont="1"/>
    <xf numFmtId="164" fontId="8" fillId="0" borderId="0" xfId="1" applyNumberFormat="1" applyFont="1"/>
    <xf numFmtId="0" fontId="10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164" fontId="8" fillId="5" borderId="3" xfId="1" applyNumberFormat="1" applyFont="1" applyFill="1" applyBorder="1" applyAlignment="1">
      <alignment horizontal="center" vertical="center"/>
    </xf>
    <xf numFmtId="164" fontId="7" fillId="0" borderId="3" xfId="1" applyNumberFormat="1" applyFont="1" applyFill="1" applyBorder="1" applyAlignment="1">
      <alignment horizontal="center" vertical="center"/>
    </xf>
    <xf numFmtId="3" fontId="7" fillId="5" borderId="3" xfId="0" applyNumberFormat="1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4" fillId="6" borderId="4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164" fontId="8" fillId="5" borderId="3" xfId="1" applyNumberFormat="1" applyFont="1" applyFill="1" applyBorder="1" applyAlignment="1">
      <alignment vertical="center"/>
    </xf>
    <xf numFmtId="3" fontId="15" fillId="6" borderId="3" xfId="0" applyNumberFormat="1" applyFont="1" applyFill="1" applyBorder="1" applyAlignment="1">
      <alignment horizontal="center" vertical="center"/>
    </xf>
    <xf numFmtId="164" fontId="7" fillId="6" borderId="3" xfId="1" applyNumberFormat="1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3" fontId="15" fillId="0" borderId="3" xfId="0" applyNumberFormat="1" applyFont="1" applyBorder="1" applyAlignment="1">
      <alignment horizontal="center" vertical="center"/>
    </xf>
    <xf numFmtId="0" fontId="14" fillId="0" borderId="3" xfId="0" applyFont="1" applyBorder="1" applyAlignment="1">
      <alignment vertical="center" wrapText="1"/>
    </xf>
    <xf numFmtId="0" fontId="8" fillId="0" borderId="3" xfId="0" applyFont="1" applyBorder="1"/>
    <xf numFmtId="0" fontId="8" fillId="7" borderId="3" xfId="0" applyFont="1" applyFill="1" applyBorder="1"/>
    <xf numFmtId="0" fontId="9" fillId="7" borderId="3" xfId="0" applyFont="1" applyFill="1" applyBorder="1"/>
    <xf numFmtId="164" fontId="8" fillId="0" borderId="3" xfId="1" applyNumberFormat="1" applyFont="1" applyFill="1" applyBorder="1" applyAlignment="1">
      <alignment vertical="center"/>
    </xf>
    <xf numFmtId="3" fontId="7" fillId="0" borderId="3" xfId="0" applyNumberFormat="1" applyFont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 wrapText="1"/>
    </xf>
    <xf numFmtId="0" fontId="8" fillId="0" borderId="6" xfId="0" applyFont="1" applyBorder="1"/>
    <xf numFmtId="164" fontId="8" fillId="0" borderId="3" xfId="1" applyNumberFormat="1" applyFont="1" applyFill="1" applyBorder="1" applyAlignment="1">
      <alignment horizontal="center" vertical="center"/>
    </xf>
    <xf numFmtId="0" fontId="19" fillId="8" borderId="7" xfId="0" applyFont="1" applyFill="1" applyBorder="1" applyAlignment="1">
      <alignment horizontal="center" vertical="center"/>
    </xf>
    <xf numFmtId="164" fontId="8" fillId="5" borderId="3" xfId="1" applyNumberFormat="1" applyFont="1" applyFill="1" applyBorder="1" applyAlignment="1">
      <alignment horizontal="right" vertical="center"/>
    </xf>
    <xf numFmtId="0" fontId="8" fillId="0" borderId="8" xfId="0" applyFont="1" applyBorder="1" applyAlignment="1">
      <alignment horizontal="center"/>
    </xf>
    <xf numFmtId="164" fontId="8" fillId="0" borderId="3" xfId="1" applyNumberFormat="1" applyFont="1" applyFill="1" applyBorder="1" applyAlignment="1">
      <alignment horizontal="right" vertical="center"/>
    </xf>
    <xf numFmtId="0" fontId="8" fillId="0" borderId="9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7" borderId="0" xfId="0" applyFont="1" applyFill="1"/>
    <xf numFmtId="0" fontId="9" fillId="7" borderId="0" xfId="0" applyFont="1" applyFill="1"/>
    <xf numFmtId="0" fontId="8" fillId="0" borderId="0" xfId="0" applyFont="1" applyAlignment="1">
      <alignment horizontal="center" vertical="center"/>
    </xf>
    <xf numFmtId="164" fontId="8" fillId="0" borderId="10" xfId="1" applyNumberFormat="1" applyFont="1" applyFill="1" applyBorder="1" applyAlignment="1">
      <alignment horizontal="center" vertical="center"/>
    </xf>
    <xf numFmtId="164" fontId="8" fillId="0" borderId="10" xfId="1" applyNumberFormat="1" applyFont="1" applyFill="1" applyBorder="1" applyAlignment="1">
      <alignment vertical="center"/>
    </xf>
    <xf numFmtId="3" fontId="7" fillId="0" borderId="11" xfId="0" applyNumberFormat="1" applyFont="1" applyBorder="1" applyAlignment="1">
      <alignment horizontal="center" vertical="center"/>
    </xf>
    <xf numFmtId="164" fontId="7" fillId="9" borderId="3" xfId="1" applyNumberFormat="1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4" fillId="6" borderId="4" xfId="0" applyFont="1" applyFill="1" applyBorder="1" applyAlignment="1">
      <alignment horizontal="center" vertical="center" wrapText="1"/>
    </xf>
    <xf numFmtId="0" fontId="20" fillId="0" borderId="0" xfId="0" applyFont="1"/>
    <xf numFmtId="0" fontId="9" fillId="7" borderId="3" xfId="0" quotePrefix="1" applyFont="1" applyFill="1" applyBorder="1"/>
    <xf numFmtId="0" fontId="7" fillId="7" borderId="12" xfId="0" applyFont="1" applyFill="1" applyBorder="1" applyAlignment="1">
      <alignment vertical="center" wrapText="1"/>
    </xf>
    <xf numFmtId="164" fontId="8" fillId="4" borderId="3" xfId="1" applyNumberFormat="1" applyFont="1" applyFill="1" applyBorder="1" applyAlignment="1">
      <alignment vertical="center"/>
    </xf>
    <xf numFmtId="0" fontId="7" fillId="7" borderId="13" xfId="0" applyFont="1" applyFill="1" applyBorder="1" applyAlignment="1">
      <alignment vertical="center" wrapText="1"/>
    </xf>
    <xf numFmtId="0" fontId="21" fillId="7" borderId="0" xfId="0" applyFont="1" applyFill="1" applyAlignment="1">
      <alignment vertical="top" wrapText="1"/>
    </xf>
    <xf numFmtId="0" fontId="21" fillId="7" borderId="0" xfId="0" applyFont="1" applyFill="1" applyAlignment="1">
      <alignment vertical="top"/>
    </xf>
    <xf numFmtId="3" fontId="7" fillId="6" borderId="3" xfId="0" applyNumberFormat="1" applyFont="1" applyFill="1" applyBorder="1" applyAlignment="1">
      <alignment horizontal="center" vertical="center"/>
    </xf>
    <xf numFmtId="0" fontId="14" fillId="0" borderId="3" xfId="0" applyFont="1" applyBorder="1" applyAlignment="1">
      <alignment vertical="center"/>
    </xf>
    <xf numFmtId="164" fontId="22" fillId="0" borderId="2" xfId="1" applyNumberFormat="1" applyFont="1" applyFill="1" applyBorder="1" applyAlignment="1">
      <alignment horizontal="center" vertical="center"/>
    </xf>
    <xf numFmtId="3" fontId="7" fillId="0" borderId="5" xfId="0" applyNumberFormat="1" applyFont="1" applyBorder="1" applyAlignment="1">
      <alignment horizontal="center" vertical="center"/>
    </xf>
    <xf numFmtId="0" fontId="9" fillId="0" borderId="0" xfId="0" applyFont="1"/>
    <xf numFmtId="0" fontId="23" fillId="0" borderId="0" xfId="0" applyFont="1" applyAlignment="1">
      <alignment horizontal="left" vertical="center"/>
    </xf>
    <xf numFmtId="18" fontId="13" fillId="0" borderId="4" xfId="0" quotePrefix="1" applyNumberFormat="1" applyFont="1" applyBorder="1" applyAlignment="1">
      <alignment horizontal="center" vertical="center"/>
    </xf>
    <xf numFmtId="18" fontId="13" fillId="0" borderId="8" xfId="0" quotePrefix="1" applyNumberFormat="1" applyFont="1" applyBorder="1" applyAlignment="1">
      <alignment horizontal="center" vertical="center"/>
    </xf>
    <xf numFmtId="164" fontId="7" fillId="0" borderId="3" xfId="1" applyNumberFormat="1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14" fillId="7" borderId="3" xfId="0" applyFont="1" applyFill="1" applyBorder="1" applyAlignment="1">
      <alignment vertical="center" wrapText="1"/>
    </xf>
    <xf numFmtId="0" fontId="8" fillId="0" borderId="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7" borderId="14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vertical="center" wrapText="1"/>
    </xf>
    <xf numFmtId="0" fontId="7" fillId="7" borderId="0" xfId="0" applyFont="1" applyFill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2" fillId="0" borderId="3" xfId="0" quotePrefix="1" applyFont="1" applyBorder="1" applyAlignment="1">
      <alignment horizontal="center" vertical="center"/>
    </xf>
    <xf numFmtId="0" fontId="14" fillId="7" borderId="3" xfId="0" applyFont="1" applyFill="1" applyBorder="1" applyAlignment="1">
      <alignment vertical="center"/>
    </xf>
    <xf numFmtId="18" fontId="13" fillId="0" borderId="8" xfId="0" quotePrefix="1" applyNumberFormat="1" applyFont="1" applyBorder="1" applyAlignment="1">
      <alignment vertical="center"/>
    </xf>
    <xf numFmtId="164" fontId="24" fillId="9" borderId="15" xfId="1" applyNumberFormat="1" applyFont="1" applyFill="1" applyBorder="1" applyAlignment="1">
      <alignment vertical="center"/>
    </xf>
    <xf numFmtId="0" fontId="25" fillId="6" borderId="4" xfId="0" applyFont="1" applyFill="1" applyBorder="1" applyAlignment="1">
      <alignment horizontal="center" vertical="center" wrapText="1"/>
    </xf>
    <xf numFmtId="0" fontId="14" fillId="0" borderId="9" xfId="0" applyFont="1" applyBorder="1" applyAlignment="1">
      <alignment vertical="center" wrapText="1"/>
    </xf>
    <xf numFmtId="0" fontId="8" fillId="0" borderId="5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8" fillId="0" borderId="0" xfId="0" applyFont="1" applyAlignment="1">
      <alignment vertical="center"/>
    </xf>
    <xf numFmtId="18" fontId="13" fillId="0" borderId="4" xfId="0" quotePrefix="1" applyNumberFormat="1" applyFont="1" applyBorder="1" applyAlignment="1">
      <alignment horizontal="center" vertical="center" wrapText="1"/>
    </xf>
    <xf numFmtId="164" fontId="8" fillId="0" borderId="3" xfId="1" applyNumberFormat="1" applyFont="1" applyFill="1" applyBorder="1"/>
    <xf numFmtId="164" fontId="8" fillId="4" borderId="2" xfId="1" applyNumberFormat="1" applyFont="1" applyFill="1" applyBorder="1" applyAlignment="1">
      <alignment horizontal="center" vertical="center"/>
    </xf>
    <xf numFmtId="164" fontId="8" fillId="10" borderId="3" xfId="1" applyNumberFormat="1" applyFont="1" applyFill="1" applyBorder="1" applyAlignment="1">
      <alignment vertical="center"/>
    </xf>
    <xf numFmtId="164" fontId="8" fillId="0" borderId="5" xfId="1" applyNumberFormat="1" applyFont="1" applyFill="1" applyBorder="1" applyAlignment="1">
      <alignment horizontal="center" vertical="center"/>
    </xf>
    <xf numFmtId="3" fontId="7" fillId="0" borderId="4" xfId="0" applyNumberFormat="1" applyFont="1" applyBorder="1" applyAlignment="1">
      <alignment horizontal="center" vertical="center"/>
    </xf>
    <xf numFmtId="3" fontId="7" fillId="0" borderId="16" xfId="0" applyNumberFormat="1" applyFont="1" applyBorder="1" applyAlignment="1">
      <alignment horizontal="center" vertical="center"/>
    </xf>
    <xf numFmtId="41" fontId="7" fillId="0" borderId="3" xfId="2" applyFont="1" applyFill="1" applyBorder="1" applyAlignment="1">
      <alignment horizontal="center" vertical="center"/>
    </xf>
    <xf numFmtId="41" fontId="7" fillId="0" borderId="3" xfId="2" applyFont="1" applyBorder="1" applyAlignment="1">
      <alignment horizontal="center" vertical="center"/>
    </xf>
    <xf numFmtId="43" fontId="0" fillId="0" borderId="0" xfId="1" applyFont="1"/>
    <xf numFmtId="0" fontId="8" fillId="0" borderId="7" xfId="0" applyFont="1" applyBorder="1" applyAlignment="1">
      <alignment horizontal="center" vertical="center"/>
    </xf>
    <xf numFmtId="164" fontId="8" fillId="0" borderId="0" xfId="1" applyNumberFormat="1" applyFont="1" applyFill="1" applyBorder="1" applyAlignment="1">
      <alignment vertical="center"/>
    </xf>
    <xf numFmtId="3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64" fontId="8" fillId="0" borderId="0" xfId="1" applyNumberFormat="1" applyFont="1" applyAlignment="1">
      <alignment horizontal="center" vertical="center" wrapText="1"/>
    </xf>
    <xf numFmtId="3" fontId="7" fillId="0" borderId="0" xfId="0" applyNumberFormat="1" applyFont="1" applyAlignment="1">
      <alignment horizontal="center" vertical="center" wrapText="1"/>
    </xf>
    <xf numFmtId="18" fontId="26" fillId="0" borderId="4" xfId="0" quotePrefix="1" applyNumberFormat="1" applyFont="1" applyBorder="1" applyAlignment="1">
      <alignment horizontal="center" vertical="center" wrapText="1"/>
    </xf>
    <xf numFmtId="164" fontId="9" fillId="11" borderId="3" xfId="1" applyNumberFormat="1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8" fillId="0" borderId="17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18" xfId="0" applyFont="1" applyBorder="1" applyAlignment="1">
      <alignment vertical="center"/>
    </xf>
    <xf numFmtId="0" fontId="27" fillId="0" borderId="0" xfId="0" applyFont="1"/>
    <xf numFmtId="0" fontId="2" fillId="0" borderId="0" xfId="0" applyFont="1"/>
    <xf numFmtId="164" fontId="28" fillId="0" borderId="0" xfId="1" applyNumberFormat="1" applyFont="1"/>
    <xf numFmtId="3" fontId="20" fillId="0" borderId="0" xfId="0" applyNumberFormat="1" applyFont="1" applyAlignment="1">
      <alignment horizontal="center"/>
    </xf>
    <xf numFmtId="0" fontId="13" fillId="0" borderId="8" xfId="0" applyFont="1" applyBorder="1" applyAlignment="1">
      <alignment horizontal="center" vertical="center"/>
    </xf>
    <xf numFmtId="0" fontId="14" fillId="6" borderId="8" xfId="0" applyFont="1" applyFill="1" applyBorder="1" applyAlignment="1">
      <alignment horizontal="center" vertical="center" wrapText="1"/>
    </xf>
    <xf numFmtId="0" fontId="14" fillId="6" borderId="9" xfId="0" applyFont="1" applyFill="1" applyBorder="1" applyAlignment="1">
      <alignment horizontal="center" vertical="center" wrapText="1"/>
    </xf>
    <xf numFmtId="0" fontId="14" fillId="12" borderId="3" xfId="0" applyFont="1" applyFill="1" applyBorder="1" applyAlignment="1">
      <alignment vertical="center"/>
    </xf>
    <xf numFmtId="0" fontId="7" fillId="7" borderId="12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7" fillId="7" borderId="13" xfId="0" applyFont="1" applyFill="1" applyBorder="1" applyAlignment="1">
      <alignment horizontal="center" vertical="center" wrapText="1"/>
    </xf>
    <xf numFmtId="18" fontId="8" fillId="0" borderId="8" xfId="0" quotePrefix="1" applyNumberFormat="1" applyFont="1" applyBorder="1" applyAlignment="1">
      <alignment horizontal="center"/>
    </xf>
    <xf numFmtId="18" fontId="8" fillId="0" borderId="9" xfId="0" quotePrefix="1" applyNumberFormat="1" applyFont="1" applyBorder="1" applyAlignment="1">
      <alignment horizontal="center"/>
    </xf>
    <xf numFmtId="0" fontId="7" fillId="7" borderId="17" xfId="0" applyFont="1" applyFill="1" applyBorder="1" applyAlignment="1">
      <alignment horizontal="center" vertical="center" wrapText="1"/>
    </xf>
    <xf numFmtId="0" fontId="7" fillId="7" borderId="18" xfId="0" applyFont="1" applyFill="1" applyBorder="1" applyAlignment="1">
      <alignment horizontal="center" vertical="center" wrapText="1"/>
    </xf>
    <xf numFmtId="3" fontId="7" fillId="9" borderId="19" xfId="0" applyNumberFormat="1" applyFont="1" applyFill="1" applyBorder="1" applyAlignment="1">
      <alignment horizontal="center" vertical="center"/>
    </xf>
    <xf numFmtId="164" fontId="8" fillId="0" borderId="0" xfId="1" applyNumberFormat="1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vertical="center"/>
    </xf>
    <xf numFmtId="164" fontId="7" fillId="13" borderId="3" xfId="1" applyNumberFormat="1" applyFont="1" applyFill="1" applyBorder="1" applyAlignment="1">
      <alignment horizontal="center" vertical="center"/>
    </xf>
    <xf numFmtId="0" fontId="8" fillId="0" borderId="12" xfId="0" applyFont="1" applyBorder="1" applyAlignment="1">
      <alignment vertical="center"/>
    </xf>
    <xf numFmtId="3" fontId="7" fillId="0" borderId="19" xfId="0" applyNumberFormat="1" applyFont="1" applyBorder="1" applyAlignment="1">
      <alignment horizontal="center" vertical="center"/>
    </xf>
    <xf numFmtId="18" fontId="13" fillId="14" borderId="4" xfId="0" quotePrefix="1" applyNumberFormat="1" applyFont="1" applyFill="1" applyBorder="1" applyAlignment="1">
      <alignment horizontal="center" vertical="center" wrapText="1"/>
    </xf>
    <xf numFmtId="18" fontId="13" fillId="0" borderId="8" xfId="0" quotePrefix="1" applyNumberFormat="1" applyFont="1" applyBorder="1" applyAlignment="1">
      <alignment vertical="center" wrapText="1"/>
    </xf>
    <xf numFmtId="0" fontId="8" fillId="7" borderId="3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164" fontId="8" fillId="5" borderId="4" xfId="1" applyNumberFormat="1" applyFont="1" applyFill="1" applyBorder="1" applyAlignment="1">
      <alignment vertical="center"/>
    </xf>
    <xf numFmtId="164" fontId="8" fillId="0" borderId="4" xfId="1" applyNumberFormat="1" applyFont="1" applyFill="1" applyBorder="1" applyAlignment="1">
      <alignment vertical="center"/>
    </xf>
    <xf numFmtId="0" fontId="8" fillId="0" borderId="3" xfId="0" applyFont="1" applyBorder="1" applyAlignment="1">
      <alignment vertical="center"/>
    </xf>
    <xf numFmtId="0" fontId="9" fillId="7" borderId="2" xfId="0" quotePrefix="1" applyFont="1" applyFill="1" applyBorder="1"/>
    <xf numFmtId="3" fontId="8" fillId="0" borderId="3" xfId="0" applyNumberFormat="1" applyFont="1" applyBorder="1" applyAlignment="1">
      <alignment horizontal="center" vertical="center"/>
    </xf>
    <xf numFmtId="164" fontId="8" fillId="0" borderId="2" xfId="1" applyNumberFormat="1" applyFont="1" applyFill="1" applyBorder="1" applyAlignment="1">
      <alignment vertical="center"/>
    </xf>
    <xf numFmtId="164" fontId="8" fillId="0" borderId="20" xfId="1" applyNumberFormat="1" applyFont="1" applyFill="1" applyBorder="1" applyAlignment="1">
      <alignment vertical="center"/>
    </xf>
    <xf numFmtId="164" fontId="8" fillId="0" borderId="6" xfId="1" applyNumberFormat="1" applyFont="1" applyFill="1" applyBorder="1" applyAlignment="1">
      <alignment vertical="center"/>
    </xf>
    <xf numFmtId="3" fontId="7" fillId="0" borderId="21" xfId="0" applyNumberFormat="1" applyFont="1" applyBorder="1" applyAlignment="1">
      <alignment horizontal="center" vertical="center"/>
    </xf>
    <xf numFmtId="164" fontId="29" fillId="0" borderId="3" xfId="1" applyNumberFormat="1" applyFont="1" applyFill="1" applyBorder="1" applyAlignment="1">
      <alignment horizontal="center" vertical="center"/>
    </xf>
    <xf numFmtId="0" fontId="14" fillId="7" borderId="4" xfId="0" applyFont="1" applyFill="1" applyBorder="1" applyAlignment="1">
      <alignment horizontal="center" vertical="center" wrapText="1"/>
    </xf>
    <xf numFmtId="0" fontId="14" fillId="7" borderId="9" xfId="0" applyFont="1" applyFill="1" applyBorder="1" applyAlignment="1">
      <alignment horizontal="center" vertical="center" wrapText="1"/>
    </xf>
    <xf numFmtId="164" fontId="8" fillId="0" borderId="0" xfId="1" applyNumberFormat="1" applyFont="1" applyAlignment="1">
      <alignment horizontal="center" vertical="center"/>
    </xf>
    <xf numFmtId="164" fontId="8" fillId="0" borderId="0" xfId="1" applyNumberFormat="1" applyFont="1" applyAlignment="1">
      <alignment vertical="center"/>
    </xf>
    <xf numFmtId="164" fontId="8" fillId="0" borderId="3" xfId="1" applyNumberFormat="1" applyFont="1" applyBorder="1" applyAlignment="1">
      <alignment horizontal="center" vertical="center"/>
    </xf>
    <xf numFmtId="164" fontId="7" fillId="0" borderId="3" xfId="1" applyNumberFormat="1" applyFont="1" applyBorder="1" applyAlignment="1">
      <alignment horizontal="center" vertical="center"/>
    </xf>
    <xf numFmtId="43" fontId="30" fillId="0" borderId="0" xfId="1" applyFont="1"/>
    <xf numFmtId="0" fontId="13" fillId="0" borderId="8" xfId="0" quotePrefix="1" applyFont="1" applyBorder="1" applyAlignment="1">
      <alignment horizontal="center" vertical="center"/>
    </xf>
    <xf numFmtId="0" fontId="14" fillId="7" borderId="3" xfId="0" applyFont="1" applyFill="1" applyBorder="1" applyAlignment="1">
      <alignment horizontal="center" vertical="center"/>
    </xf>
    <xf numFmtId="0" fontId="7" fillId="7" borderId="12" xfId="0" quotePrefix="1" applyFont="1" applyFill="1" applyBorder="1" applyAlignment="1">
      <alignment horizontal="center" vertical="center" wrapText="1"/>
    </xf>
    <xf numFmtId="0" fontId="7" fillId="7" borderId="13" xfId="0" quotePrefix="1" applyFont="1" applyFill="1" applyBorder="1" applyAlignment="1">
      <alignment horizontal="center" vertical="center" wrapText="1"/>
    </xf>
    <xf numFmtId="0" fontId="19" fillId="8" borderId="7" xfId="0" quotePrefix="1" applyFont="1" applyFill="1" applyBorder="1" applyAlignment="1">
      <alignment horizontal="center" vertical="center"/>
    </xf>
    <xf numFmtId="0" fontId="7" fillId="7" borderId="18" xfId="0" quotePrefix="1" applyFont="1" applyFill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164" fontId="8" fillId="0" borderId="10" xfId="1" applyNumberFormat="1" applyFont="1" applyBorder="1" applyAlignment="1">
      <alignment vertical="center"/>
    </xf>
    <xf numFmtId="0" fontId="13" fillId="0" borderId="4" xfId="0" applyFont="1" applyBorder="1" applyAlignment="1">
      <alignment horizontal="center" vertical="center" wrapText="1"/>
    </xf>
    <xf numFmtId="164" fontId="7" fillId="8" borderId="3" xfId="1" applyNumberFormat="1" applyFont="1" applyFill="1" applyBorder="1" applyAlignment="1">
      <alignment horizontal="center" vertical="center"/>
    </xf>
    <xf numFmtId="164" fontId="7" fillId="15" borderId="3" xfId="1" applyNumberFormat="1" applyFont="1" applyFill="1" applyBorder="1" applyAlignment="1">
      <alignment horizontal="center" vertical="center"/>
    </xf>
    <xf numFmtId="0" fontId="13" fillId="0" borderId="12" xfId="0" applyFont="1" applyBorder="1" applyAlignment="1">
      <alignment horizontal="center" vertical="center" wrapText="1"/>
    </xf>
    <xf numFmtId="164" fontId="8" fillId="4" borderId="3" xfId="1" applyNumberFormat="1" applyFont="1" applyFill="1" applyBorder="1" applyAlignment="1">
      <alignment horizontal="center" vertical="center"/>
    </xf>
    <xf numFmtId="0" fontId="19" fillId="8" borderId="7" xfId="0" applyFont="1" applyFill="1" applyBorder="1" applyAlignment="1">
      <alignment vertical="center"/>
    </xf>
    <xf numFmtId="164" fontId="24" fillId="0" borderId="15" xfId="1" applyNumberFormat="1" applyFont="1" applyFill="1" applyBorder="1" applyAlignment="1">
      <alignment vertical="center"/>
    </xf>
    <xf numFmtId="164" fontId="8" fillId="0" borderId="2" xfId="1" applyNumberFormat="1" applyFont="1" applyFill="1" applyBorder="1" applyAlignment="1">
      <alignment horizontal="center" vertical="center"/>
    </xf>
    <xf numFmtId="0" fontId="13" fillId="0" borderId="8" xfId="0" applyFont="1" applyBorder="1" applyAlignment="1">
      <alignment vertical="center" wrapText="1"/>
    </xf>
    <xf numFmtId="0" fontId="13" fillId="0" borderId="4" xfId="0" applyFont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3" fontId="7" fillId="0" borderId="15" xfId="0" applyNumberFormat="1" applyFont="1" applyBorder="1" applyAlignment="1">
      <alignment horizontal="center" vertical="center"/>
    </xf>
    <xf numFmtId="164" fontId="31" fillId="0" borderId="3" xfId="1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7" fillId="7" borderId="0" xfId="0" applyFont="1" applyFill="1" applyAlignment="1">
      <alignment horizontal="center" vertical="center" wrapText="1"/>
    </xf>
    <xf numFmtId="0" fontId="8" fillId="16" borderId="3" xfId="0" applyFont="1" applyFill="1" applyBorder="1" applyAlignment="1">
      <alignment horizontal="center" vertical="center"/>
    </xf>
    <xf numFmtId="0" fontId="20" fillId="0" borderId="3" xfId="0" applyFont="1" applyBorder="1"/>
    <xf numFmtId="164" fontId="24" fillId="0" borderId="3" xfId="1" applyNumberFormat="1" applyFont="1" applyFill="1" applyBorder="1" applyAlignment="1">
      <alignment horizontal="center" vertical="center"/>
    </xf>
    <xf numFmtId="164" fontId="8" fillId="4" borderId="3" xfId="1" applyNumberFormat="1" applyFont="1" applyFill="1" applyBorder="1" applyAlignment="1">
      <alignment horizontal="right" vertical="center"/>
    </xf>
    <xf numFmtId="0" fontId="9" fillId="7" borderId="6" xfId="0" applyFont="1" applyFill="1" applyBorder="1"/>
    <xf numFmtId="0" fontId="9" fillId="7" borderId="6" xfId="0" quotePrefix="1" applyFont="1" applyFill="1" applyBorder="1"/>
    <xf numFmtId="0" fontId="14" fillId="0" borderId="0" xfId="0" applyFont="1" applyAlignment="1">
      <alignment vertical="center"/>
    </xf>
    <xf numFmtId="43" fontId="7" fillId="0" borderId="3" xfId="1" applyFont="1" applyBorder="1" applyAlignment="1">
      <alignment horizontal="center" vertical="center"/>
    </xf>
    <xf numFmtId="164" fontId="14" fillId="17" borderId="0" xfId="1" applyNumberFormat="1" applyFont="1" applyFill="1" applyBorder="1" applyAlignment="1">
      <alignment vertical="center"/>
    </xf>
    <xf numFmtId="164" fontId="8" fillId="17" borderId="0" xfId="1" applyNumberFormat="1" applyFont="1" applyFill="1" applyBorder="1" applyAlignment="1">
      <alignment vertical="center"/>
    </xf>
    <xf numFmtId="164" fontId="8" fillId="0" borderId="0" xfId="1" applyNumberFormat="1" applyFont="1" applyFill="1" applyBorder="1" applyAlignment="1">
      <alignment horizontal="center" vertical="center"/>
    </xf>
    <xf numFmtId="0" fontId="8" fillId="0" borderId="8" xfId="0" applyFont="1" applyBorder="1"/>
    <xf numFmtId="0" fontId="8" fillId="6" borderId="4" xfId="0" applyFont="1" applyFill="1" applyBorder="1" applyAlignment="1">
      <alignment horizontal="center" vertical="center"/>
    </xf>
    <xf numFmtId="0" fontId="12" fillId="0" borderId="2" xfId="0" quotePrefix="1" applyFont="1" applyBorder="1" applyAlignment="1">
      <alignment horizontal="center" vertical="center"/>
    </xf>
    <xf numFmtId="0" fontId="9" fillId="7" borderId="2" xfId="0" applyFont="1" applyFill="1" applyBorder="1"/>
    <xf numFmtId="164" fontId="8" fillId="0" borderId="0" xfId="1" applyNumberFormat="1" applyFont="1" applyFill="1" applyBorder="1" applyAlignment="1">
      <alignment horizontal="right" vertical="center"/>
    </xf>
    <xf numFmtId="0" fontId="14" fillId="6" borderId="5" xfId="0" quotePrefix="1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/>
    </xf>
    <xf numFmtId="18" fontId="8" fillId="8" borderId="0" xfId="0" quotePrefix="1" applyNumberFormat="1" applyFont="1" applyFill="1" applyAlignment="1">
      <alignment horizontal="center"/>
    </xf>
    <xf numFmtId="0" fontId="8" fillId="8" borderId="0" xfId="0" applyFont="1" applyFill="1"/>
    <xf numFmtId="0" fontId="9" fillId="8" borderId="0" xfId="0" quotePrefix="1" applyFont="1" applyFill="1"/>
    <xf numFmtId="164" fontId="8" fillId="8" borderId="0" xfId="1" applyNumberFormat="1" applyFont="1" applyFill="1"/>
    <xf numFmtId="3" fontId="7" fillId="8" borderId="0" xfId="0" applyNumberFormat="1" applyFont="1" applyFill="1" applyAlignment="1">
      <alignment horizontal="center"/>
    </xf>
    <xf numFmtId="0" fontId="32" fillId="4" borderId="3" xfId="0" applyFont="1" applyFill="1" applyBorder="1" applyAlignment="1">
      <alignment vertical="center"/>
    </xf>
    <xf numFmtId="0" fontId="32" fillId="0" borderId="3" xfId="0" applyFont="1" applyBorder="1" applyAlignment="1">
      <alignment vertical="center"/>
    </xf>
    <xf numFmtId="43" fontId="8" fillId="0" borderId="14" xfId="1" applyFont="1" applyFill="1" applyBorder="1" applyAlignment="1">
      <alignment vertical="center"/>
    </xf>
    <xf numFmtId="0" fontId="33" fillId="18" borderId="7" xfId="0" applyFont="1" applyFill="1" applyBorder="1" applyAlignment="1">
      <alignment vertical="center"/>
    </xf>
    <xf numFmtId="0" fontId="8" fillId="8" borderId="0" xfId="0" applyFont="1" applyFill="1" applyAlignment="1">
      <alignment horizontal="center" vertical="center"/>
    </xf>
    <xf numFmtId="164" fontId="8" fillId="8" borderId="0" xfId="1" applyNumberFormat="1" applyFont="1" applyFill="1" applyBorder="1" applyAlignment="1">
      <alignment horizontal="center" vertical="center"/>
    </xf>
    <xf numFmtId="164" fontId="8" fillId="8" borderId="0" xfId="1" applyNumberFormat="1" applyFont="1" applyFill="1" applyBorder="1" applyAlignment="1">
      <alignment vertical="center"/>
    </xf>
    <xf numFmtId="3" fontId="7" fillId="8" borderId="0" xfId="0" applyNumberFormat="1" applyFont="1" applyFill="1" applyAlignment="1">
      <alignment horizontal="center" vertical="center"/>
    </xf>
    <xf numFmtId="18" fontId="34" fillId="0" borderId="0" xfId="0" quotePrefix="1" applyNumberFormat="1" applyFont="1" applyAlignment="1">
      <alignment horizontal="center"/>
    </xf>
    <xf numFmtId="0" fontId="34" fillId="0" borderId="0" xfId="0" applyFont="1"/>
    <xf numFmtId="0" fontId="35" fillId="0" borderId="0" xfId="0" quotePrefix="1" applyFont="1"/>
    <xf numFmtId="164" fontId="34" fillId="0" borderId="0" xfId="1" applyNumberFormat="1" applyFont="1"/>
    <xf numFmtId="3" fontId="24" fillId="0" borderId="0" xfId="0" applyNumberFormat="1" applyFont="1" applyAlignment="1">
      <alignment horizontal="center"/>
    </xf>
    <xf numFmtId="0" fontId="36" fillId="4" borderId="0" xfId="0" applyFont="1" applyFill="1" applyAlignment="1">
      <alignment horizontal="center" vertical="center"/>
    </xf>
    <xf numFmtId="0" fontId="2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37" fillId="0" borderId="0" xfId="0" applyFont="1" applyAlignment="1">
      <alignment vertical="center"/>
    </xf>
    <xf numFmtId="0" fontId="38" fillId="0" borderId="0" xfId="0" applyFont="1" applyAlignment="1">
      <alignment vertical="center"/>
    </xf>
    <xf numFmtId="164" fontId="20" fillId="0" borderId="0" xfId="1" applyNumberFormat="1" applyFont="1"/>
    <xf numFmtId="43" fontId="20" fillId="0" borderId="0" xfId="1" applyFont="1"/>
    <xf numFmtId="164" fontId="39" fillId="5" borderId="2" xfId="1" applyNumberFormat="1" applyFont="1" applyFill="1" applyBorder="1" applyAlignment="1">
      <alignment horizontal="center" vertical="center" wrapText="1"/>
    </xf>
    <xf numFmtId="0" fontId="40" fillId="0" borderId="0" xfId="0" applyFont="1"/>
    <xf numFmtId="43" fontId="40" fillId="0" borderId="0" xfId="1" applyFont="1"/>
    <xf numFmtId="0" fontId="41" fillId="0" borderId="0" xfId="0" applyFont="1" applyAlignment="1">
      <alignment horizontal="center" vertical="center" wrapText="1"/>
    </xf>
    <xf numFmtId="0" fontId="41" fillId="0" borderId="0" xfId="0" applyFont="1" applyAlignment="1">
      <alignment horizontal="left"/>
    </xf>
    <xf numFmtId="0" fontId="9" fillId="0" borderId="0" xfId="0" applyFont="1" applyAlignment="1">
      <alignment horizontal="center" vertical="center"/>
    </xf>
    <xf numFmtId="164" fontId="24" fillId="0" borderId="0" xfId="1" applyNumberFormat="1" applyFont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43" fontId="42" fillId="0" borderId="0" xfId="1" applyFont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43" fillId="0" borderId="3" xfId="0" applyFont="1" applyBorder="1" applyAlignment="1">
      <alignment horizontal="center" vertical="center" wrapText="1"/>
    </xf>
    <xf numFmtId="0" fontId="44" fillId="0" borderId="3" xfId="0" applyFont="1" applyBorder="1" applyAlignment="1">
      <alignment horizontal="center" vertical="center"/>
    </xf>
    <xf numFmtId="0" fontId="45" fillId="0" borderId="3" xfId="0" applyFont="1" applyBorder="1" applyAlignment="1">
      <alignment horizontal="center" vertical="center"/>
    </xf>
    <xf numFmtId="164" fontId="44" fillId="0" borderId="3" xfId="1" applyNumberFormat="1" applyFont="1" applyFill="1" applyBorder="1" applyAlignment="1">
      <alignment horizontal="center" vertical="center"/>
    </xf>
    <xf numFmtId="0" fontId="43" fillId="0" borderId="0" xfId="0" applyFont="1"/>
    <xf numFmtId="43" fontId="43" fillId="0" borderId="0" xfId="1" applyFont="1"/>
    <xf numFmtId="0" fontId="34" fillId="6" borderId="4" xfId="0" applyFont="1" applyFill="1" applyBorder="1" applyAlignment="1">
      <alignment horizontal="center" vertical="center"/>
    </xf>
    <xf numFmtId="0" fontId="46" fillId="0" borderId="4" xfId="0" applyFont="1" applyBorder="1" applyAlignment="1">
      <alignment horizontal="center"/>
    </xf>
    <xf numFmtId="0" fontId="8" fillId="5" borderId="3" xfId="0" applyFont="1" applyFill="1" applyBorder="1" applyAlignment="1">
      <alignment vertical="center" wrapText="1"/>
    </xf>
    <xf numFmtId="43" fontId="34" fillId="0" borderId="0" xfId="1" applyFont="1"/>
    <xf numFmtId="164" fontId="41" fillId="5" borderId="3" xfId="1" applyNumberFormat="1" applyFont="1" applyFill="1" applyBorder="1" applyAlignment="1">
      <alignment vertical="center"/>
    </xf>
    <xf numFmtId="164" fontId="7" fillId="0" borderId="3" xfId="1" applyNumberFormat="1" applyFont="1" applyFill="1" applyBorder="1" applyAlignment="1">
      <alignment vertical="center"/>
    </xf>
    <xf numFmtId="0" fontId="41" fillId="0" borderId="0" xfId="0" applyFont="1"/>
    <xf numFmtId="0" fontId="41" fillId="0" borderId="3" xfId="0" applyFont="1" applyBorder="1" applyAlignment="1">
      <alignment horizontal="center" vertical="center"/>
    </xf>
    <xf numFmtId="164" fontId="41" fillId="0" borderId="3" xfId="1" applyNumberFormat="1" applyFont="1" applyFill="1" applyBorder="1" applyAlignment="1">
      <alignment horizontal="left"/>
    </xf>
    <xf numFmtId="164" fontId="41" fillId="0" borderId="3" xfId="1" applyNumberFormat="1" applyFont="1" applyFill="1" applyBorder="1" applyAlignment="1">
      <alignment horizontal="center" vertical="center"/>
    </xf>
    <xf numFmtId="164" fontId="24" fillId="0" borderId="3" xfId="1" applyNumberFormat="1" applyFont="1" applyFill="1" applyBorder="1" applyAlignment="1">
      <alignment vertical="center"/>
    </xf>
    <xf numFmtId="0" fontId="24" fillId="0" borderId="0" xfId="0" applyFont="1"/>
    <xf numFmtId="43" fontId="24" fillId="0" borderId="0" xfId="1" applyFont="1"/>
    <xf numFmtId="164" fontId="41" fillId="0" borderId="3" xfId="1" applyNumberFormat="1" applyFont="1" applyFill="1" applyBorder="1" applyAlignment="1">
      <alignment horizontal="right" vertical="center"/>
    </xf>
    <xf numFmtId="18" fontId="41" fillId="0" borderId="8" xfId="0" quotePrefix="1" applyNumberFormat="1" applyFont="1" applyBorder="1" applyAlignment="1">
      <alignment horizontal="center"/>
    </xf>
    <xf numFmtId="18" fontId="41" fillId="0" borderId="9" xfId="0" quotePrefix="1" applyNumberFormat="1" applyFont="1" applyBorder="1" applyAlignment="1">
      <alignment horizontal="center"/>
    </xf>
    <xf numFmtId="18" fontId="41" fillId="0" borderId="0" xfId="0" quotePrefix="1" applyNumberFormat="1" applyFont="1" applyAlignment="1">
      <alignment horizontal="center"/>
    </xf>
    <xf numFmtId="0" fontId="41" fillId="0" borderId="0" xfId="0" applyFont="1" applyAlignment="1">
      <alignment horizontal="center" vertical="center"/>
    </xf>
    <xf numFmtId="0" fontId="41" fillId="0" borderId="10" xfId="0" applyFont="1" applyBorder="1" applyAlignment="1">
      <alignment horizontal="center" vertical="center"/>
    </xf>
    <xf numFmtId="164" fontId="41" fillId="0" borderId="10" xfId="1" applyNumberFormat="1" applyFont="1" applyFill="1" applyBorder="1" applyAlignment="1">
      <alignment vertical="center"/>
    </xf>
    <xf numFmtId="164" fontId="24" fillId="0" borderId="11" xfId="1" applyNumberFormat="1" applyFont="1" applyFill="1" applyBorder="1" applyAlignment="1">
      <alignment vertical="center"/>
    </xf>
    <xf numFmtId="164" fontId="24" fillId="9" borderId="11" xfId="1" applyNumberFormat="1" applyFont="1" applyFill="1" applyBorder="1" applyAlignment="1">
      <alignment vertical="center"/>
    </xf>
    <xf numFmtId="164" fontId="24" fillId="0" borderId="0" xfId="1" applyNumberFormat="1" applyFont="1" applyFill="1"/>
    <xf numFmtId="18" fontId="46" fillId="0" borderId="4" xfId="0" quotePrefix="1" applyNumberFormat="1" applyFont="1" applyBorder="1" applyAlignment="1">
      <alignment horizontal="center" wrapText="1"/>
    </xf>
    <xf numFmtId="0" fontId="34" fillId="6" borderId="2" xfId="0" applyFont="1" applyFill="1" applyBorder="1" applyAlignment="1">
      <alignment vertical="center" wrapText="1"/>
    </xf>
    <xf numFmtId="0" fontId="8" fillId="5" borderId="3" xfId="0" applyFont="1" applyFill="1" applyBorder="1" applyAlignment="1">
      <alignment vertical="center"/>
    </xf>
    <xf numFmtId="164" fontId="8" fillId="5" borderId="2" xfId="1" applyNumberFormat="1" applyFont="1" applyFill="1" applyBorder="1" applyAlignment="1">
      <alignment vertical="center"/>
    </xf>
    <xf numFmtId="164" fontId="7" fillId="19" borderId="3" xfId="1" applyNumberFormat="1" applyFont="1" applyFill="1" applyBorder="1" applyAlignment="1">
      <alignment horizontal="center" vertical="center"/>
    </xf>
    <xf numFmtId="164" fontId="7" fillId="0" borderId="0" xfId="1" applyNumberFormat="1" applyFont="1" applyFill="1" applyBorder="1" applyAlignment="1">
      <alignment vertical="center"/>
    </xf>
    <xf numFmtId="164" fontId="41" fillId="0" borderId="0" xfId="1" applyNumberFormat="1" applyFont="1" applyFill="1" applyBorder="1" applyAlignment="1">
      <alignment vertical="center"/>
    </xf>
    <xf numFmtId="164" fontId="24" fillId="0" borderId="1" xfId="1" applyNumberFormat="1" applyFont="1" applyFill="1" applyBorder="1" applyAlignment="1">
      <alignment vertical="center"/>
    </xf>
    <xf numFmtId="0" fontId="41" fillId="0" borderId="0" xfId="0" applyFont="1" applyAlignment="1">
      <alignment horizontal="center"/>
    </xf>
    <xf numFmtId="0" fontId="34" fillId="6" borderId="4" xfId="0" applyFont="1" applyFill="1" applyBorder="1" applyAlignment="1">
      <alignment horizontal="center" vertical="center" wrapText="1"/>
    </xf>
    <xf numFmtId="164" fontId="8" fillId="4" borderId="6" xfId="1" applyNumberFormat="1" applyFont="1" applyFill="1" applyBorder="1" applyAlignment="1">
      <alignment vertical="center"/>
    </xf>
    <xf numFmtId="164" fontId="7" fillId="0" borderId="1" xfId="1" applyNumberFormat="1" applyFont="1" applyFill="1" applyBorder="1" applyAlignment="1">
      <alignment vertical="center"/>
    </xf>
    <xf numFmtId="18" fontId="47" fillId="0" borderId="12" xfId="0" quotePrefix="1" applyNumberFormat="1" applyFont="1" applyBorder="1" applyAlignment="1">
      <alignment horizontal="center" wrapText="1"/>
    </xf>
    <xf numFmtId="0" fontId="8" fillId="0" borderId="9" xfId="0" applyFont="1" applyBorder="1" applyAlignment="1">
      <alignment horizontal="center" vertical="center"/>
    </xf>
    <xf numFmtId="164" fontId="8" fillId="5" borderId="9" xfId="1" applyNumberFormat="1" applyFont="1" applyFill="1" applyBorder="1" applyAlignment="1">
      <alignment vertical="center"/>
    </xf>
    <xf numFmtId="18" fontId="46" fillId="0" borderId="13" xfId="0" quotePrefix="1" applyNumberFormat="1" applyFont="1" applyBorder="1" applyAlignment="1">
      <alignment wrapText="1"/>
    </xf>
    <xf numFmtId="164" fontId="24" fillId="0" borderId="0" xfId="1" applyNumberFormat="1" applyFont="1" applyFill="1" applyBorder="1" applyAlignment="1">
      <alignment vertical="center"/>
    </xf>
    <xf numFmtId="0" fontId="34" fillId="6" borderId="9" xfId="0" applyFont="1" applyFill="1" applyBorder="1" applyAlignment="1">
      <alignment horizontal="center" vertical="center" wrapText="1"/>
    </xf>
    <xf numFmtId="18" fontId="47" fillId="16" borderId="12" xfId="0" quotePrefix="1" applyNumberFormat="1" applyFont="1" applyFill="1" applyBorder="1" applyAlignment="1">
      <alignment horizontal="center" wrapText="1"/>
    </xf>
    <xf numFmtId="164" fontId="7" fillId="0" borderId="2" xfId="1" applyNumberFormat="1" applyFont="1" applyFill="1" applyBorder="1" applyAlignment="1">
      <alignment horizontal="center" vertical="center"/>
    </xf>
    <xf numFmtId="164" fontId="7" fillId="0" borderId="20" xfId="1" applyNumberFormat="1" applyFont="1" applyFill="1" applyBorder="1" applyAlignment="1">
      <alignment horizontal="center" vertical="center"/>
    </xf>
    <xf numFmtId="164" fontId="7" fillId="0" borderId="6" xfId="1" applyNumberFormat="1" applyFont="1" applyFill="1" applyBorder="1" applyAlignment="1">
      <alignment horizontal="center" vertical="center"/>
    </xf>
    <xf numFmtId="3" fontId="7" fillId="10" borderId="3" xfId="0" applyNumberFormat="1" applyFont="1" applyFill="1" applyBorder="1" applyAlignment="1">
      <alignment horizontal="center" vertical="center"/>
    </xf>
    <xf numFmtId="164" fontId="7" fillId="10" borderId="3" xfId="1" applyNumberFormat="1" applyFont="1" applyFill="1" applyBorder="1" applyAlignment="1">
      <alignment horizontal="center" vertical="center"/>
    </xf>
    <xf numFmtId="0" fontId="34" fillId="0" borderId="2" xfId="0" applyFont="1" applyBorder="1" applyAlignment="1">
      <alignment vertical="center" wrapText="1"/>
    </xf>
    <xf numFmtId="0" fontId="8" fillId="0" borderId="2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164" fontId="14" fillId="0" borderId="3" xfId="1" applyNumberFormat="1" applyFont="1" applyFill="1" applyBorder="1" applyAlignment="1">
      <alignment horizontal="center" vertical="center" wrapText="1"/>
    </xf>
    <xf numFmtId="164" fontId="14" fillId="0" borderId="3" xfId="1" applyNumberFormat="1" applyFont="1" applyFill="1" applyBorder="1" applyAlignment="1">
      <alignment horizontal="center" vertical="center"/>
    </xf>
    <xf numFmtId="0" fontId="41" fillId="0" borderId="8" xfId="0" applyFont="1" applyBorder="1" applyAlignment="1">
      <alignment horizontal="center"/>
    </xf>
    <xf numFmtId="0" fontId="48" fillId="5" borderId="0" xfId="0" applyFont="1" applyFill="1" applyAlignment="1">
      <alignment horizontal="left" vertical="center"/>
    </xf>
    <xf numFmtId="164" fontId="41" fillId="0" borderId="3" xfId="1" applyNumberFormat="1" applyFont="1" applyFill="1" applyBorder="1" applyAlignment="1">
      <alignment vertical="center"/>
    </xf>
    <xf numFmtId="0" fontId="46" fillId="14" borderId="4" xfId="0" applyFont="1" applyFill="1" applyBorder="1" applyAlignment="1">
      <alignment horizontal="center"/>
    </xf>
    <xf numFmtId="164" fontId="49" fillId="4" borderId="3" xfId="1" applyNumberFormat="1" applyFont="1" applyFill="1" applyBorder="1" applyAlignment="1">
      <alignment vertical="center"/>
    </xf>
    <xf numFmtId="3" fontId="29" fillId="0" borderId="3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46" fillId="0" borderId="4" xfId="0" applyFont="1" applyBorder="1" applyAlignment="1">
      <alignment horizontal="center" vertical="center"/>
    </xf>
    <xf numFmtId="0" fontId="34" fillId="6" borderId="9" xfId="0" applyFont="1" applyFill="1" applyBorder="1" applyAlignment="1">
      <alignment horizontal="center" vertical="center"/>
    </xf>
    <xf numFmtId="0" fontId="41" fillId="0" borderId="8" xfId="0" applyFont="1" applyBorder="1"/>
    <xf numFmtId="0" fontId="46" fillId="0" borderId="4" xfId="0" quotePrefix="1" applyFont="1" applyBorder="1" applyAlignment="1">
      <alignment horizontal="center" vertical="center" wrapText="1"/>
    </xf>
    <xf numFmtId="0" fontId="46" fillId="0" borderId="8" xfId="0" quotePrefix="1" applyFont="1" applyBorder="1" applyAlignment="1">
      <alignment vertical="center" wrapText="1"/>
    </xf>
    <xf numFmtId="0" fontId="34" fillId="6" borderId="3" xfId="0" applyFont="1" applyFill="1" applyBorder="1" applyAlignment="1">
      <alignment vertical="center"/>
    </xf>
    <xf numFmtId="0" fontId="50" fillId="20" borderId="7" xfId="0" applyFont="1" applyFill="1" applyBorder="1" applyAlignment="1">
      <alignment horizontal="center" vertical="center"/>
    </xf>
    <xf numFmtId="0" fontId="9" fillId="0" borderId="3" xfId="0" quotePrefix="1" applyFont="1" applyBorder="1"/>
    <xf numFmtId="0" fontId="34" fillId="0" borderId="3" xfId="0" applyFont="1" applyBorder="1" applyAlignment="1">
      <alignment vertical="center"/>
    </xf>
    <xf numFmtId="164" fontId="9" fillId="21" borderId="3" xfId="1" applyNumberFormat="1" applyFont="1" applyFill="1" applyBorder="1" applyAlignment="1">
      <alignment horizontal="right" vertical="center"/>
    </xf>
    <xf numFmtId="0" fontId="41" fillId="0" borderId="9" xfId="0" applyFont="1" applyBorder="1"/>
    <xf numFmtId="164" fontId="7" fillId="0" borderId="3" xfId="1" applyNumberFormat="1" applyFont="1" applyBorder="1" applyAlignment="1">
      <alignment vertical="center"/>
    </xf>
    <xf numFmtId="164" fontId="44" fillId="0" borderId="3" xfId="1" applyNumberFormat="1" applyFont="1" applyBorder="1" applyAlignment="1">
      <alignment horizontal="center" vertical="center"/>
    </xf>
    <xf numFmtId="0" fontId="46" fillId="0" borderId="8" xfId="0" applyFont="1" applyBorder="1" applyAlignment="1">
      <alignment horizontal="center" vertical="center"/>
    </xf>
    <xf numFmtId="164" fontId="7" fillId="0" borderId="2" xfId="1" applyNumberFormat="1" applyFont="1" applyBorder="1" applyAlignment="1">
      <alignment horizontal="center" vertical="center"/>
    </xf>
    <xf numFmtId="164" fontId="7" fillId="0" borderId="20" xfId="1" applyNumberFormat="1" applyFont="1" applyBorder="1" applyAlignment="1">
      <alignment horizontal="center" vertical="center"/>
    </xf>
    <xf numFmtId="164" fontId="7" fillId="0" borderId="6" xfId="1" applyNumberFormat="1" applyFont="1" applyBorder="1" applyAlignment="1">
      <alignment horizontal="center" vertical="center"/>
    </xf>
    <xf numFmtId="0" fontId="51" fillId="0" borderId="5" xfId="0" applyFont="1" applyBorder="1" applyAlignment="1">
      <alignment horizontal="center" vertical="center"/>
    </xf>
    <xf numFmtId="0" fontId="51" fillId="0" borderId="14" xfId="0" applyFont="1" applyBorder="1" applyAlignment="1">
      <alignment horizontal="center" vertical="center"/>
    </xf>
    <xf numFmtId="0" fontId="51" fillId="0" borderId="12" xfId="0" applyFont="1" applyBorder="1" applyAlignment="1">
      <alignment horizontal="center" vertical="center"/>
    </xf>
    <xf numFmtId="0" fontId="51" fillId="0" borderId="7" xfId="0" applyFont="1" applyBorder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51" fillId="0" borderId="13" xfId="0" applyFont="1" applyBorder="1" applyAlignment="1">
      <alignment horizontal="center" vertical="center"/>
    </xf>
    <xf numFmtId="0" fontId="51" fillId="0" borderId="17" xfId="0" applyFont="1" applyBorder="1" applyAlignment="1">
      <alignment horizontal="center" vertical="center"/>
    </xf>
    <xf numFmtId="0" fontId="51" fillId="0" borderId="1" xfId="0" applyFont="1" applyBorder="1" applyAlignment="1">
      <alignment horizontal="center" vertical="center"/>
    </xf>
    <xf numFmtId="0" fontId="51" fillId="0" borderId="18" xfId="0" applyFont="1" applyBorder="1" applyAlignment="1">
      <alignment horizontal="center" vertical="center"/>
    </xf>
    <xf numFmtId="164" fontId="41" fillId="0" borderId="10" xfId="1" applyNumberFormat="1" applyFont="1" applyBorder="1" applyAlignment="1">
      <alignment vertical="center"/>
    </xf>
    <xf numFmtId="164" fontId="24" fillId="0" borderId="11" xfId="1" applyNumberFormat="1" applyFont="1" applyBorder="1" applyAlignment="1">
      <alignment vertical="center"/>
    </xf>
    <xf numFmtId="164" fontId="24" fillId="0" borderId="0" xfId="1" applyNumberFormat="1" applyFont="1"/>
    <xf numFmtId="164" fontId="7" fillId="4" borderId="3" xfId="1" applyNumberFormat="1" applyFont="1" applyFill="1" applyBorder="1" applyAlignment="1">
      <alignment horizontal="center" vertical="center"/>
    </xf>
    <xf numFmtId="0" fontId="34" fillId="6" borderId="5" xfId="0" applyFont="1" applyFill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/>
    </xf>
    <xf numFmtId="0" fontId="8" fillId="0" borderId="2" xfId="0" applyFont="1" applyBorder="1"/>
    <xf numFmtId="0" fontId="8" fillId="0" borderId="6" xfId="0" applyFont="1" applyBorder="1" applyAlignment="1">
      <alignment horizontal="center" vertical="center"/>
    </xf>
    <xf numFmtId="0" fontId="46" fillId="0" borderId="4" xfId="0" quotePrefix="1" applyFont="1" applyBorder="1" applyAlignment="1">
      <alignment horizontal="center" wrapText="1"/>
    </xf>
    <xf numFmtId="164" fontId="41" fillId="0" borderId="3" xfId="1" applyNumberFormat="1" applyFont="1" applyFill="1" applyBorder="1" applyAlignment="1">
      <alignment horizontal="right"/>
    </xf>
    <xf numFmtId="0" fontId="46" fillId="0" borderId="8" xfId="0" quotePrefix="1" applyFont="1" applyBorder="1" applyAlignment="1">
      <alignment wrapText="1"/>
    </xf>
    <xf numFmtId="164" fontId="24" fillId="0" borderId="0" xfId="1" applyNumberFormat="1" applyFont="1" applyFill="1" applyAlignment="1">
      <alignment horizontal="center" vertical="center" wrapText="1"/>
    </xf>
    <xf numFmtId="164" fontId="41" fillId="4" borderId="3" xfId="1" applyNumberFormat="1" applyFont="1" applyFill="1" applyBorder="1" applyAlignment="1">
      <alignment vertical="center"/>
    </xf>
    <xf numFmtId="0" fontId="41" fillId="0" borderId="4" xfId="0" applyFont="1" applyBorder="1" applyAlignment="1">
      <alignment vertical="center"/>
    </xf>
    <xf numFmtId="164" fontId="41" fillId="0" borderId="5" xfId="1" applyNumberFormat="1" applyFont="1" applyFill="1" applyBorder="1" applyAlignment="1">
      <alignment vertical="center"/>
    </xf>
    <xf numFmtId="164" fontId="41" fillId="0" borderId="14" xfId="1" applyNumberFormat="1" applyFont="1" applyFill="1" applyBorder="1" applyAlignment="1">
      <alignment vertical="center"/>
    </xf>
    <xf numFmtId="164" fontId="41" fillId="0" borderId="12" xfId="1" applyNumberFormat="1" applyFont="1" applyFill="1" applyBorder="1" applyAlignment="1">
      <alignment vertical="center"/>
    </xf>
    <xf numFmtId="0" fontId="41" fillId="0" borderId="8" xfId="0" applyFont="1" applyBorder="1" applyAlignment="1">
      <alignment vertical="center"/>
    </xf>
    <xf numFmtId="164" fontId="41" fillId="0" borderId="7" xfId="1" applyNumberFormat="1" applyFont="1" applyFill="1" applyBorder="1" applyAlignment="1">
      <alignment vertical="center"/>
    </xf>
    <xf numFmtId="164" fontId="41" fillId="0" borderId="13" xfId="1" applyNumberFormat="1" applyFont="1" applyFill="1" applyBorder="1" applyAlignment="1">
      <alignment vertical="center"/>
    </xf>
    <xf numFmtId="164" fontId="41" fillId="0" borderId="1" xfId="1" applyNumberFormat="1" applyFont="1" applyFill="1" applyBorder="1" applyAlignment="1">
      <alignment vertical="center"/>
    </xf>
    <xf numFmtId="164" fontId="41" fillId="0" borderId="18" xfId="1" applyNumberFormat="1" applyFont="1" applyFill="1" applyBorder="1" applyAlignment="1">
      <alignment vertical="center"/>
    </xf>
    <xf numFmtId="0" fontId="34" fillId="6" borderId="8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8" fillId="0" borderId="0" xfId="0" applyFont="1"/>
    <xf numFmtId="164" fontId="24" fillId="0" borderId="3" xfId="1" applyNumberFormat="1" applyFont="1" applyBorder="1" applyAlignment="1">
      <alignment vertical="center"/>
    </xf>
    <xf numFmtId="3" fontId="7" fillId="0" borderId="5" xfId="0" applyNumberFormat="1" applyFont="1" applyBorder="1" applyAlignment="1">
      <alignment horizontal="center" vertical="center" wrapText="1"/>
    </xf>
    <xf numFmtId="3" fontId="7" fillId="0" borderId="14" xfId="0" applyNumberFormat="1" applyFont="1" applyBorder="1" applyAlignment="1">
      <alignment horizontal="center" vertical="center"/>
    </xf>
    <xf numFmtId="3" fontId="7" fillId="0" borderId="12" xfId="0" applyNumberFormat="1" applyFont="1" applyBorder="1" applyAlignment="1">
      <alignment horizontal="center" vertical="center"/>
    </xf>
    <xf numFmtId="3" fontId="7" fillId="0" borderId="7" xfId="0" applyNumberFormat="1" applyFont="1" applyBorder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3" fontId="7" fillId="0" borderId="13" xfId="0" applyNumberFormat="1" applyFont="1" applyBorder="1" applyAlignment="1">
      <alignment horizontal="center" vertical="center"/>
    </xf>
    <xf numFmtId="3" fontId="7" fillId="0" borderId="17" xfId="0" applyNumberFormat="1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3" fontId="7" fillId="0" borderId="18" xfId="0" applyNumberFormat="1" applyFont="1" applyBorder="1" applyAlignment="1">
      <alignment horizontal="center" vertical="center"/>
    </xf>
    <xf numFmtId="0" fontId="52" fillId="0" borderId="3" xfId="0" applyFont="1" applyBorder="1" applyAlignment="1">
      <alignment horizontal="center" vertical="center" wrapText="1"/>
    </xf>
    <xf numFmtId="0" fontId="53" fillId="0" borderId="3" xfId="0" applyFont="1" applyBorder="1" applyAlignment="1">
      <alignment horizontal="center" vertical="center"/>
    </xf>
    <xf numFmtId="0" fontId="54" fillId="0" borderId="3" xfId="0" applyFont="1" applyBorder="1" applyAlignment="1">
      <alignment horizontal="center" vertical="center"/>
    </xf>
    <xf numFmtId="0" fontId="53" fillId="5" borderId="3" xfId="0" applyFont="1" applyFill="1" applyBorder="1" applyAlignment="1">
      <alignment horizontal="center" vertical="center"/>
    </xf>
    <xf numFmtId="164" fontId="44" fillId="5" borderId="3" xfId="1" applyNumberFormat="1" applyFont="1" applyFill="1" applyBorder="1" applyAlignment="1">
      <alignment horizontal="center" vertical="center"/>
    </xf>
    <xf numFmtId="164" fontId="55" fillId="0" borderId="3" xfId="1" applyNumberFormat="1" applyFont="1" applyBorder="1" applyAlignment="1">
      <alignment horizontal="center" vertical="center"/>
    </xf>
    <xf numFmtId="0" fontId="52" fillId="0" borderId="0" xfId="0" applyFont="1"/>
    <xf numFmtId="43" fontId="52" fillId="0" borderId="0" xfId="1" applyFont="1"/>
    <xf numFmtId="18" fontId="47" fillId="0" borderId="4" xfId="0" quotePrefix="1" applyNumberFormat="1" applyFont="1" applyBorder="1" applyAlignment="1">
      <alignment horizontal="center" vertical="center" wrapText="1"/>
    </xf>
    <xf numFmtId="0" fontId="24" fillId="6" borderId="4" xfId="0" applyFont="1" applyFill="1" applyBorder="1" applyAlignment="1">
      <alignment horizontal="center" vertical="center" wrapText="1"/>
    </xf>
    <xf numFmtId="18" fontId="47" fillId="0" borderId="8" xfId="0" applyNumberFormat="1" applyFont="1" applyBorder="1" applyAlignment="1">
      <alignment horizontal="center" vertical="center" wrapText="1"/>
    </xf>
    <xf numFmtId="0" fontId="24" fillId="6" borderId="8" xfId="0" applyFont="1" applyFill="1" applyBorder="1" applyAlignment="1">
      <alignment horizontal="center" vertical="center" wrapText="1"/>
    </xf>
    <xf numFmtId="0" fontId="24" fillId="6" borderId="9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left"/>
    </xf>
    <xf numFmtId="0" fontId="46" fillId="0" borderId="0" xfId="0" applyFont="1"/>
    <xf numFmtId="0" fontId="24" fillId="0" borderId="0" xfId="0" applyFont="1" applyAlignment="1">
      <alignment vertical="center"/>
    </xf>
    <xf numFmtId="0" fontId="56" fillId="0" borderId="0" xfId="0" applyFont="1"/>
    <xf numFmtId="0" fontId="24" fillId="0" borderId="0" xfId="0" applyFont="1" applyAlignment="1">
      <alignment horizontal="center" vertical="center"/>
    </xf>
    <xf numFmtId="164" fontId="57" fillId="0" borderId="10" xfId="1" applyNumberFormat="1" applyFont="1" applyBorder="1" applyAlignment="1">
      <alignment vertical="center"/>
    </xf>
    <xf numFmtId="164" fontId="24" fillId="0" borderId="15" xfId="1" applyNumberFormat="1" applyFont="1" applyBorder="1" applyAlignment="1">
      <alignment vertical="center"/>
    </xf>
    <xf numFmtId="0" fontId="24" fillId="0" borderId="0" xfId="0" applyFont="1" applyAlignment="1">
      <alignment horizontal="center" vertical="center" wrapText="1"/>
    </xf>
    <xf numFmtId="0" fontId="57" fillId="0" borderId="0" xfId="0" applyFont="1" applyAlignment="1">
      <alignment horizontal="center" vertical="center" wrapText="1"/>
    </xf>
    <xf numFmtId="0" fontId="49" fillId="0" borderId="5" xfId="0" applyFont="1" applyBorder="1" applyAlignment="1">
      <alignment horizontal="center" vertical="center" wrapText="1"/>
    </xf>
    <xf numFmtId="0" fontId="49" fillId="0" borderId="5" xfId="0" applyFont="1" applyBorder="1" applyAlignment="1">
      <alignment horizontal="center" vertical="center"/>
    </xf>
    <xf numFmtId="0" fontId="44" fillId="16" borderId="3" xfId="0" applyFont="1" applyFill="1" applyBorder="1" applyAlignment="1">
      <alignment horizontal="center" vertical="center"/>
    </xf>
    <xf numFmtId="0" fontId="58" fillId="0" borderId="0" xfId="0" applyFont="1" applyAlignment="1">
      <alignment vertical="center"/>
    </xf>
    <xf numFmtId="3" fontId="59" fillId="0" borderId="0" xfId="0" applyNumberFormat="1" applyFont="1"/>
    <xf numFmtId="164" fontId="18" fillId="0" borderId="14" xfId="1" applyNumberFormat="1" applyFont="1" applyFill="1" applyBorder="1" applyAlignment="1">
      <alignment horizontal="center" vertical="center"/>
    </xf>
    <xf numFmtId="164" fontId="18" fillId="0" borderId="1" xfId="1" applyNumberFormat="1" applyFont="1" applyFill="1" applyBorder="1" applyAlignment="1">
      <alignment horizontal="center" vertical="center"/>
    </xf>
    <xf numFmtId="0" fontId="41" fillId="0" borderId="5" xfId="0" applyFont="1" applyBorder="1" applyAlignment="1">
      <alignment vertical="center"/>
    </xf>
    <xf numFmtId="0" fontId="41" fillId="0" borderId="14" xfId="0" applyFont="1" applyBorder="1" applyAlignment="1">
      <alignment vertical="center"/>
    </xf>
    <xf numFmtId="0" fontId="41" fillId="0" borderId="3" xfId="0" applyFont="1" applyBorder="1" applyAlignment="1">
      <alignment vertical="center"/>
    </xf>
    <xf numFmtId="164" fontId="7" fillId="0" borderId="5" xfId="1" applyNumberFormat="1" applyFont="1" applyFill="1" applyBorder="1" applyAlignment="1">
      <alignment horizontal="center" vertical="center"/>
    </xf>
    <xf numFmtId="164" fontId="7" fillId="0" borderId="14" xfId="1" applyNumberFormat="1" applyFont="1" applyFill="1" applyBorder="1" applyAlignment="1">
      <alignment horizontal="center" vertical="center"/>
    </xf>
    <xf numFmtId="164" fontId="7" fillId="0" borderId="12" xfId="1" applyNumberFormat="1" applyFont="1" applyFill="1" applyBorder="1" applyAlignment="1">
      <alignment horizontal="center" vertical="center"/>
    </xf>
    <xf numFmtId="164" fontId="7" fillId="0" borderId="7" xfId="1" applyNumberFormat="1" applyFont="1" applyFill="1" applyBorder="1" applyAlignment="1">
      <alignment horizontal="center" vertical="center"/>
    </xf>
    <xf numFmtId="164" fontId="7" fillId="0" borderId="0" xfId="1" applyNumberFormat="1" applyFont="1" applyFill="1" applyBorder="1" applyAlignment="1">
      <alignment horizontal="center" vertical="center"/>
    </xf>
    <xf numFmtId="164" fontId="7" fillId="0" borderId="13" xfId="1" applyNumberFormat="1" applyFont="1" applyFill="1" applyBorder="1" applyAlignment="1">
      <alignment horizontal="center" vertical="center"/>
    </xf>
    <xf numFmtId="164" fontId="7" fillId="0" borderId="17" xfId="1" applyNumberFormat="1" applyFont="1" applyFill="1" applyBorder="1" applyAlignment="1">
      <alignment horizontal="center" vertical="center"/>
    </xf>
    <xf numFmtId="164" fontId="7" fillId="0" borderId="1" xfId="1" applyNumberFormat="1" applyFont="1" applyFill="1" applyBorder="1" applyAlignment="1">
      <alignment horizontal="center" vertical="center"/>
    </xf>
    <xf numFmtId="164" fontId="7" fillId="0" borderId="18" xfId="1" applyNumberFormat="1" applyFont="1" applyFill="1" applyBorder="1" applyAlignment="1">
      <alignment horizontal="center" vertical="center"/>
    </xf>
    <xf numFmtId="0" fontId="46" fillId="0" borderId="8" xfId="0" applyFont="1" applyBorder="1" applyAlignment="1">
      <alignment horizontal="center"/>
    </xf>
    <xf numFmtId="0" fontId="46" fillId="0" borderId="9" xfId="0" applyFont="1" applyBorder="1" applyAlignment="1">
      <alignment horizontal="center"/>
    </xf>
    <xf numFmtId="0" fontId="46" fillId="0" borderId="4" xfId="0" applyFont="1" applyBorder="1" applyAlignment="1">
      <alignment horizontal="center" wrapText="1"/>
    </xf>
    <xf numFmtId="0" fontId="34" fillId="6" borderId="3" xfId="0" applyFont="1" applyFill="1" applyBorder="1" applyAlignment="1">
      <alignment vertical="center" wrapText="1"/>
    </xf>
    <xf numFmtId="0" fontId="34" fillId="0" borderId="3" xfId="0" applyFont="1" applyBorder="1" applyAlignment="1">
      <alignment vertical="center" wrapText="1"/>
    </xf>
    <xf numFmtId="164" fontId="46" fillId="0" borderId="5" xfId="1" applyNumberFormat="1" applyFont="1" applyFill="1" applyBorder="1" applyAlignment="1">
      <alignment horizontal="center" vertical="center" wrapText="1"/>
    </xf>
    <xf numFmtId="164" fontId="46" fillId="0" borderId="14" xfId="1" applyNumberFormat="1" applyFont="1" applyFill="1" applyBorder="1" applyAlignment="1">
      <alignment horizontal="center" vertical="center"/>
    </xf>
    <xf numFmtId="164" fontId="46" fillId="0" borderId="12" xfId="1" applyNumberFormat="1" applyFont="1" applyFill="1" applyBorder="1" applyAlignment="1">
      <alignment horizontal="center" vertical="center"/>
    </xf>
    <xf numFmtId="164" fontId="46" fillId="0" borderId="7" xfId="1" applyNumberFormat="1" applyFont="1" applyFill="1" applyBorder="1" applyAlignment="1">
      <alignment horizontal="center" vertical="center"/>
    </xf>
    <xf numFmtId="164" fontId="46" fillId="0" borderId="0" xfId="1" applyNumberFormat="1" applyFont="1" applyFill="1" applyBorder="1" applyAlignment="1">
      <alignment horizontal="center" vertical="center"/>
    </xf>
    <xf numFmtId="164" fontId="46" fillId="0" borderId="13" xfId="1" applyNumberFormat="1" applyFont="1" applyFill="1" applyBorder="1" applyAlignment="1">
      <alignment horizontal="center" vertical="center"/>
    </xf>
    <xf numFmtId="0" fontId="46" fillId="0" borderId="8" xfId="0" applyFont="1" applyBorder="1" applyAlignment="1">
      <alignment wrapText="1"/>
    </xf>
    <xf numFmtId="164" fontId="46" fillId="0" borderId="17" xfId="1" applyNumberFormat="1" applyFont="1" applyFill="1" applyBorder="1" applyAlignment="1">
      <alignment horizontal="center" vertical="center"/>
    </xf>
    <xf numFmtId="164" fontId="46" fillId="0" borderId="1" xfId="1" applyNumberFormat="1" applyFont="1" applyFill="1" applyBorder="1" applyAlignment="1">
      <alignment horizontal="center" vertical="center"/>
    </xf>
    <xf numFmtId="164" fontId="46" fillId="0" borderId="18" xfId="1" applyNumberFormat="1" applyFont="1" applyFill="1" applyBorder="1" applyAlignment="1">
      <alignment horizontal="center" vertical="center"/>
    </xf>
    <xf numFmtId="0" fontId="60" fillId="0" borderId="4" xfId="0" quotePrefix="1" applyFont="1" applyBorder="1" applyAlignment="1">
      <alignment horizontal="center" vertical="center" wrapText="1"/>
    </xf>
    <xf numFmtId="164" fontId="15" fillId="0" borderId="3" xfId="1" applyNumberFormat="1" applyFont="1" applyFill="1" applyBorder="1" applyAlignment="1">
      <alignment horizontal="center" vertical="center"/>
    </xf>
    <xf numFmtId="164" fontId="7" fillId="0" borderId="2" xfId="1" applyNumberFormat="1" applyFont="1" applyFill="1" applyBorder="1" applyAlignment="1">
      <alignment vertical="center"/>
    </xf>
    <xf numFmtId="164" fontId="7" fillId="0" borderId="20" xfId="1" applyNumberFormat="1" applyFont="1" applyFill="1" applyBorder="1" applyAlignment="1">
      <alignment vertical="center"/>
    </xf>
    <xf numFmtId="164" fontId="7" fillId="0" borderId="6" xfId="1" applyNumberFormat="1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164" fontId="8" fillId="5" borderId="4" xfId="1" applyNumberFormat="1" applyFont="1" applyFill="1" applyBorder="1" applyAlignment="1">
      <alignment horizontal="center" vertical="center"/>
    </xf>
    <xf numFmtId="164" fontId="8" fillId="0" borderId="5" xfId="1" applyNumberFormat="1" applyFont="1" applyFill="1" applyBorder="1" applyAlignment="1">
      <alignment vertical="center"/>
    </xf>
    <xf numFmtId="164" fontId="8" fillId="0" borderId="14" xfId="1" applyNumberFormat="1" applyFont="1" applyFill="1" applyBorder="1" applyAlignment="1">
      <alignment vertical="center"/>
    </xf>
    <xf numFmtId="164" fontId="8" fillId="0" borderId="12" xfId="1" applyNumberFormat="1" applyFont="1" applyFill="1" applyBorder="1" applyAlignment="1">
      <alignment vertical="center"/>
    </xf>
    <xf numFmtId="3" fontId="7" fillId="0" borderId="4" xfId="0" applyNumberFormat="1" applyFont="1" applyBorder="1" applyAlignment="1">
      <alignment vertical="center"/>
    </xf>
    <xf numFmtId="164" fontId="8" fillId="0" borderId="7" xfId="1" applyNumberFormat="1" applyFont="1" applyFill="1" applyBorder="1" applyAlignment="1">
      <alignment vertical="center"/>
    </xf>
    <xf numFmtId="164" fontId="8" fillId="0" borderId="13" xfId="1" applyNumberFormat="1" applyFont="1" applyFill="1" applyBorder="1" applyAlignment="1">
      <alignment vertical="center"/>
    </xf>
    <xf numFmtId="3" fontId="7" fillId="0" borderId="8" xfId="0" applyNumberFormat="1" applyFont="1" applyBorder="1" applyAlignment="1">
      <alignment vertical="center"/>
    </xf>
    <xf numFmtId="164" fontId="8" fillId="0" borderId="17" xfId="1" applyNumberFormat="1" applyFont="1" applyFill="1" applyBorder="1" applyAlignment="1">
      <alignment vertical="center"/>
    </xf>
    <xf numFmtId="164" fontId="8" fillId="0" borderId="1" xfId="1" applyNumberFormat="1" applyFont="1" applyFill="1" applyBorder="1" applyAlignment="1">
      <alignment vertical="center"/>
    </xf>
    <xf numFmtId="164" fontId="8" fillId="0" borderId="18" xfId="1" applyNumberFormat="1" applyFont="1" applyFill="1" applyBorder="1" applyAlignment="1">
      <alignment vertical="center"/>
    </xf>
    <xf numFmtId="3" fontId="7" fillId="0" borderId="9" xfId="0" applyNumberFormat="1" applyFont="1" applyBorder="1" applyAlignment="1">
      <alignment vertical="center"/>
    </xf>
    <xf numFmtId="164" fontId="61" fillId="0" borderId="3" xfId="1" applyNumberFormat="1" applyFont="1" applyFill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51" fillId="0" borderId="5" xfId="0" applyFont="1" applyBorder="1" applyAlignment="1">
      <alignment horizontal="center" vertical="center" wrapText="1"/>
    </xf>
    <xf numFmtId="0" fontId="41" fillId="0" borderId="3" xfId="0" applyFont="1" applyBorder="1" applyAlignment="1">
      <alignment vertical="center" wrapText="1"/>
    </xf>
    <xf numFmtId="0" fontId="41" fillId="0" borderId="9" xfId="0" applyFont="1" applyBorder="1" applyAlignment="1">
      <alignment horizontal="center"/>
    </xf>
    <xf numFmtId="0" fontId="41" fillId="6" borderId="3" xfId="0" applyFont="1" applyFill="1" applyBorder="1" applyAlignment="1">
      <alignment vertical="center"/>
    </xf>
    <xf numFmtId="164" fontId="7" fillId="0" borderId="4" xfId="1" applyNumberFormat="1" applyFont="1" applyFill="1" applyBorder="1" applyAlignment="1">
      <alignment horizontal="center" vertical="center"/>
    </xf>
    <xf numFmtId="164" fontId="41" fillId="5" borderId="5" xfId="1" applyNumberFormat="1" applyFont="1" applyFill="1" applyBorder="1" applyAlignment="1">
      <alignment vertical="center"/>
    </xf>
    <xf numFmtId="164" fontId="14" fillId="4" borderId="12" xfId="1" applyNumberFormat="1" applyFont="1" applyFill="1" applyBorder="1" applyAlignment="1">
      <alignment vertical="center"/>
    </xf>
    <xf numFmtId="3" fontId="7" fillId="0" borderId="4" xfId="0" applyNumberFormat="1" applyFont="1" applyBorder="1" applyAlignment="1">
      <alignment horizontal="center" vertical="center"/>
    </xf>
    <xf numFmtId="164" fontId="41" fillId="0" borderId="0" xfId="1" quotePrefix="1" applyNumberFormat="1" applyFont="1" applyFill="1" applyBorder="1" applyAlignment="1">
      <alignment vertical="center"/>
    </xf>
    <xf numFmtId="164" fontId="7" fillId="0" borderId="14" xfId="1" applyNumberFormat="1" applyFont="1" applyFill="1" applyBorder="1" applyAlignment="1">
      <alignment vertical="center"/>
    </xf>
    <xf numFmtId="164" fontId="24" fillId="0" borderId="12" xfId="1" applyNumberFormat="1" applyFont="1" applyFill="1" applyBorder="1" applyAlignment="1">
      <alignment vertical="center"/>
    </xf>
    <xf numFmtId="164" fontId="41" fillId="0" borderId="3" xfId="1" applyNumberFormat="1" applyFont="1" applyBorder="1" applyAlignment="1">
      <alignment vertical="center"/>
    </xf>
    <xf numFmtId="0" fontId="46" fillId="0" borderId="8" xfId="0" applyFont="1" applyBorder="1" applyAlignment="1">
      <alignment horizontal="center" vertical="center" wrapText="1"/>
    </xf>
    <xf numFmtId="0" fontId="7" fillId="7" borderId="7" xfId="0" applyFont="1" applyFill="1" applyBorder="1" applyAlignment="1">
      <alignment vertical="center" wrapText="1"/>
    </xf>
    <xf numFmtId="0" fontId="46" fillId="0" borderId="8" xfId="0" quotePrefix="1" applyFont="1" applyBorder="1" applyAlignment="1">
      <alignment horizontal="center" vertical="center" wrapText="1"/>
    </xf>
    <xf numFmtId="164" fontId="41" fillId="4" borderId="3" xfId="1" applyNumberFormat="1" applyFont="1" applyFill="1" applyBorder="1" applyAlignment="1">
      <alignment horizontal="center" vertical="center"/>
    </xf>
    <xf numFmtId="0" fontId="34" fillId="6" borderId="8" xfId="0" applyFont="1" applyFill="1" applyBorder="1" applyAlignment="1">
      <alignment horizontal="center" vertical="center" wrapText="1"/>
    </xf>
    <xf numFmtId="164" fontId="7" fillId="22" borderId="3" xfId="1" applyNumberFormat="1" applyFont="1" applyFill="1" applyBorder="1" applyAlignment="1">
      <alignment horizontal="center" vertical="center"/>
    </xf>
    <xf numFmtId="0" fontId="46" fillId="0" borderId="8" xfId="0" applyFont="1" applyBorder="1"/>
    <xf numFmtId="0" fontId="14" fillId="7" borderId="3" xfId="0" applyFont="1" applyFill="1" applyBorder="1" applyAlignment="1">
      <alignment horizontal="left" vertical="center"/>
    </xf>
    <xf numFmtId="0" fontId="34" fillId="2" borderId="4" xfId="0" applyFont="1" applyFill="1" applyBorder="1" applyAlignment="1">
      <alignment horizontal="center" vertical="center"/>
    </xf>
    <xf numFmtId="0" fontId="34" fillId="2" borderId="9" xfId="0" applyFont="1" applyFill="1" applyBorder="1" applyAlignment="1">
      <alignment horizontal="center" vertical="center"/>
    </xf>
    <xf numFmtId="0" fontId="14" fillId="0" borderId="0" xfId="0" applyFont="1"/>
    <xf numFmtId="0" fontId="7" fillId="0" borderId="0" xfId="0" quotePrefix="1" applyFont="1" applyAlignment="1">
      <alignment vertical="center"/>
    </xf>
    <xf numFmtId="0" fontId="62" fillId="0" borderId="0" xfId="0" quotePrefix="1" applyFont="1" applyAlignment="1">
      <alignment horizontal="left" vertical="center"/>
    </xf>
    <xf numFmtId="0" fontId="41" fillId="0" borderId="1" xfId="0" applyFont="1" applyBorder="1" applyAlignment="1">
      <alignment horizontal="center" vertical="center"/>
    </xf>
    <xf numFmtId="0" fontId="14" fillId="6" borderId="9" xfId="0" applyFont="1" applyFill="1" applyBorder="1" applyAlignment="1">
      <alignment horizontal="center" vertical="center"/>
    </xf>
    <xf numFmtId="0" fontId="63" fillId="4" borderId="0" xfId="0" applyFont="1" applyFill="1" applyAlignment="1">
      <alignment horizontal="center" vertical="center"/>
    </xf>
    <xf numFmtId="0" fontId="63" fillId="0" borderId="0" xfId="0" applyFont="1" applyAlignment="1">
      <alignment horizontal="center" vertical="center"/>
    </xf>
    <xf numFmtId="164" fontId="7" fillId="5" borderId="20" xfId="1" applyNumberFormat="1" applyFont="1" applyFill="1" applyBorder="1" applyAlignment="1">
      <alignment horizontal="center" vertical="center"/>
    </xf>
    <xf numFmtId="164" fontId="7" fillId="5" borderId="6" xfId="1" applyNumberFormat="1" applyFont="1" applyFill="1" applyBorder="1" applyAlignment="1">
      <alignment horizontal="center" vertical="center"/>
    </xf>
    <xf numFmtId="164" fontId="39" fillId="5" borderId="6" xfId="1" applyNumberFormat="1" applyFont="1" applyFill="1" applyBorder="1" applyAlignment="1">
      <alignment horizontal="center" vertical="center" wrapText="1"/>
    </xf>
    <xf numFmtId="164" fontId="55" fillId="0" borderId="3" xfId="1" applyNumberFormat="1" applyFont="1" applyFill="1" applyBorder="1" applyAlignment="1">
      <alignment horizontal="center" vertical="center"/>
    </xf>
    <xf numFmtId="18" fontId="46" fillId="0" borderId="4" xfId="0" quotePrefix="1" applyNumberFormat="1" applyFont="1" applyBorder="1" applyAlignment="1">
      <alignment horizontal="center" vertical="center"/>
    </xf>
    <xf numFmtId="0" fontId="14" fillId="6" borderId="4" xfId="0" applyFont="1" applyFill="1" applyBorder="1" applyAlignment="1">
      <alignment horizontal="center" vertical="top" wrapText="1"/>
    </xf>
    <xf numFmtId="18" fontId="46" fillId="0" borderId="8" xfId="0" quotePrefix="1" applyNumberFormat="1" applyFont="1" applyBorder="1" applyAlignment="1">
      <alignment horizontal="center" vertical="center"/>
    </xf>
    <xf numFmtId="0" fontId="14" fillId="6" borderId="8" xfId="0" applyFont="1" applyFill="1" applyBorder="1" applyAlignment="1">
      <alignment horizontal="center" vertical="top" wrapText="1"/>
    </xf>
    <xf numFmtId="0" fontId="14" fillId="6" borderId="9" xfId="0" applyFont="1" applyFill="1" applyBorder="1" applyAlignment="1">
      <alignment horizontal="center" vertical="top" wrapText="1"/>
    </xf>
    <xf numFmtId="164" fontId="11" fillId="0" borderId="3" xfId="1" applyNumberFormat="1" applyFont="1" applyFill="1" applyBorder="1" applyAlignment="1">
      <alignment vertical="center"/>
    </xf>
    <xf numFmtId="164" fontId="11" fillId="0" borderId="0" xfId="1" applyNumberFormat="1" applyFont="1" applyFill="1" applyBorder="1" applyAlignment="1">
      <alignment vertical="center"/>
    </xf>
    <xf numFmtId="164" fontId="57" fillId="0" borderId="0" xfId="1" applyNumberFormat="1" applyFont="1" applyFill="1" applyBorder="1" applyAlignment="1">
      <alignment vertical="center"/>
    </xf>
    <xf numFmtId="0" fontId="49" fillId="0" borderId="0" xfId="0" applyFont="1" applyAlignment="1">
      <alignment horizontal="left" vertical="center"/>
    </xf>
    <xf numFmtId="0" fontId="46" fillId="0" borderId="0" xfId="0" applyFont="1" applyAlignment="1">
      <alignment horizontal="center" vertical="center" wrapText="1"/>
    </xf>
    <xf numFmtId="0" fontId="24" fillId="0" borderId="0" xfId="0" applyFont="1" applyAlignment="1">
      <alignment horizontal="left" vertical="center"/>
    </xf>
    <xf numFmtId="0" fontId="56" fillId="0" borderId="0" xfId="0" applyFont="1" applyAlignment="1">
      <alignment horizontal="center" vertical="center"/>
    </xf>
    <xf numFmtId="164" fontId="57" fillId="0" borderId="10" xfId="1" applyNumberFormat="1" applyFont="1" applyFill="1" applyBorder="1" applyAlignment="1">
      <alignment vertical="center"/>
    </xf>
    <xf numFmtId="0" fontId="56" fillId="0" borderId="0" xfId="0" applyFont="1" applyAlignment="1">
      <alignment vertical="center"/>
    </xf>
    <xf numFmtId="0" fontId="64" fillId="0" borderId="0" xfId="0" applyFont="1"/>
    <xf numFmtId="43" fontId="64" fillId="0" borderId="0" xfId="1" applyFont="1"/>
    <xf numFmtId="18" fontId="46" fillId="0" borderId="8" xfId="0" applyNumberFormat="1" applyFont="1" applyBorder="1" applyAlignment="1">
      <alignment horizontal="center" vertical="center"/>
    </xf>
    <xf numFmtId="164" fontId="24" fillId="0" borderId="2" xfId="1" applyNumberFormat="1" applyFont="1" applyBorder="1" applyAlignment="1">
      <alignment horizontal="center" vertical="center"/>
    </xf>
    <xf numFmtId="164" fontId="24" fillId="0" borderId="20" xfId="1" applyNumberFormat="1" applyFont="1" applyBorder="1" applyAlignment="1">
      <alignment horizontal="center" vertical="center"/>
    </xf>
    <xf numFmtId="164" fontId="24" fillId="0" borderId="6" xfId="1" applyNumberFormat="1" applyFont="1" applyBorder="1" applyAlignment="1">
      <alignment horizontal="center" vertical="center"/>
    </xf>
    <xf numFmtId="164" fontId="41" fillId="0" borderId="5" xfId="1" applyNumberFormat="1" applyFont="1" applyBorder="1" applyAlignment="1">
      <alignment horizontal="center" vertical="center" wrapText="1"/>
    </xf>
    <xf numFmtId="164" fontId="41" fillId="0" borderId="14" xfId="1" applyNumberFormat="1" applyFont="1" applyBorder="1" applyAlignment="1">
      <alignment horizontal="center" vertical="center"/>
    </xf>
    <xf numFmtId="164" fontId="41" fillId="0" borderId="7" xfId="1" applyNumberFormat="1" applyFont="1" applyBorder="1" applyAlignment="1">
      <alignment horizontal="center" vertical="center"/>
    </xf>
    <xf numFmtId="164" fontId="41" fillId="0" borderId="0" xfId="1" applyNumberFormat="1" applyFont="1" applyAlignment="1">
      <alignment horizontal="center" vertical="center"/>
    </xf>
    <xf numFmtId="0" fontId="8" fillId="0" borderId="5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3" fontId="7" fillId="0" borderId="8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18" xfId="0" applyFont="1" applyBorder="1" applyAlignment="1">
      <alignment horizontal="left" vertical="center"/>
    </xf>
    <xf numFmtId="3" fontId="7" fillId="0" borderId="9" xfId="0" applyNumberFormat="1" applyFont="1" applyBorder="1" applyAlignment="1">
      <alignment horizontal="center" vertical="center"/>
    </xf>
    <xf numFmtId="0" fontId="57" fillId="0" borderId="0" xfId="0" applyFont="1"/>
    <xf numFmtId="0" fontId="24" fillId="0" borderId="3" xfId="0" applyFont="1" applyBorder="1" applyAlignment="1">
      <alignment horizontal="center" vertical="center"/>
    </xf>
    <xf numFmtId="164" fontId="57" fillId="0" borderId="3" xfId="1" applyNumberFormat="1" applyFont="1" applyFill="1" applyBorder="1" applyAlignment="1">
      <alignment horizontal="right" vertical="center"/>
    </xf>
    <xf numFmtId="18" fontId="46" fillId="0" borderId="8" xfId="0" quotePrefix="1" applyNumberFormat="1" applyFont="1" applyBorder="1" applyAlignment="1">
      <alignment vertical="center"/>
    </xf>
    <xf numFmtId="164" fontId="57" fillId="0" borderId="3" xfId="1" applyNumberFormat="1" applyFont="1" applyFill="1" applyBorder="1" applyAlignment="1">
      <alignment vertical="center"/>
    </xf>
    <xf numFmtId="164" fontId="24" fillId="0" borderId="14" xfId="1" applyNumberFormat="1" applyFont="1" applyFill="1" applyBorder="1" applyAlignment="1">
      <alignment vertical="center"/>
    </xf>
    <xf numFmtId="0" fontId="65" fillId="0" borderId="3" xfId="0" applyFont="1" applyBorder="1" applyAlignment="1">
      <alignment horizontal="center" vertical="center"/>
    </xf>
    <xf numFmtId="0" fontId="66" fillId="6" borderId="4" xfId="0" applyFont="1" applyFill="1" applyBorder="1" applyAlignment="1">
      <alignment horizontal="center" vertical="center"/>
    </xf>
    <xf numFmtId="0" fontId="66" fillId="6" borderId="9" xfId="0" applyFont="1" applyFill="1" applyBorder="1" applyAlignment="1">
      <alignment horizontal="center" vertical="center"/>
    </xf>
    <xf numFmtId="164" fontId="7" fillId="0" borderId="4" xfId="1" applyNumberFormat="1" applyFont="1" applyFill="1" applyBorder="1" applyAlignment="1">
      <alignment horizontal="center" vertical="center"/>
    </xf>
    <xf numFmtId="164" fontId="7" fillId="0" borderId="8" xfId="1" applyNumberFormat="1" applyFont="1" applyFill="1" applyBorder="1" applyAlignment="1">
      <alignment horizontal="center" vertical="center"/>
    </xf>
    <xf numFmtId="0" fontId="67" fillId="0" borderId="0" xfId="0" applyFont="1"/>
    <xf numFmtId="164" fontId="7" fillId="0" borderId="9" xfId="1" applyNumberFormat="1" applyFont="1" applyFill="1" applyBorder="1" applyAlignment="1">
      <alignment horizontal="center" vertical="center"/>
    </xf>
    <xf numFmtId="43" fontId="67" fillId="0" borderId="0" xfId="1" applyFont="1"/>
    <xf numFmtId="0" fontId="67" fillId="0" borderId="0" xfId="0" applyFont="1" applyAlignment="1">
      <alignment horizontal="center" vertical="center"/>
    </xf>
    <xf numFmtId="0" fontId="14" fillId="6" borderId="4" xfId="0" applyFont="1" applyFill="1" applyBorder="1" applyAlignment="1">
      <alignment horizontal="center" vertical="top"/>
    </xf>
    <xf numFmtId="0" fontId="14" fillId="6" borderId="8" xfId="0" applyFont="1" applyFill="1" applyBorder="1" applyAlignment="1">
      <alignment horizontal="center" vertical="top"/>
    </xf>
    <xf numFmtId="0" fontId="14" fillId="6" borderId="9" xfId="0" applyFont="1" applyFill="1" applyBorder="1" applyAlignment="1">
      <alignment horizontal="center" vertical="top"/>
    </xf>
    <xf numFmtId="164" fontId="37" fillId="8" borderId="3" xfId="1" applyNumberFormat="1" applyFont="1" applyFill="1" applyBorder="1" applyAlignment="1">
      <alignment horizontal="center" vertical="center"/>
    </xf>
    <xf numFmtId="165" fontId="24" fillId="0" borderId="0" xfId="0" applyNumberFormat="1" applyFont="1" applyAlignment="1">
      <alignment horizontal="left" vertical="center"/>
    </xf>
    <xf numFmtId="164" fontId="56" fillId="0" borderId="0" xfId="1" applyNumberFormat="1" applyFont="1" applyBorder="1" applyAlignment="1">
      <alignment horizontal="center" vertical="center"/>
    </xf>
    <xf numFmtId="1" fontId="46" fillId="0" borderId="4" xfId="0" quotePrefix="1" applyNumberFormat="1" applyFont="1" applyBorder="1" applyAlignment="1">
      <alignment horizontal="center" vertical="center"/>
    </xf>
    <xf numFmtId="1" fontId="46" fillId="0" borderId="8" xfId="0" quotePrefix="1" applyNumberFormat="1" applyFont="1" applyBorder="1" applyAlignment="1">
      <alignment horizontal="center" vertical="center"/>
    </xf>
    <xf numFmtId="164" fontId="57" fillId="0" borderId="3" xfId="1" applyNumberFormat="1" applyFont="1" applyFill="1" applyBorder="1" applyAlignment="1">
      <alignment horizontal="center" vertical="center"/>
    </xf>
    <xf numFmtId="1" fontId="46" fillId="0" borderId="8" xfId="0" quotePrefix="1" applyNumberFormat="1" applyFont="1" applyBorder="1" applyAlignment="1">
      <alignment vertical="center"/>
    </xf>
    <xf numFmtId="18" fontId="46" fillId="16" borderId="4" xfId="0" quotePrefix="1" applyNumberFormat="1" applyFont="1" applyFill="1" applyBorder="1" applyAlignment="1">
      <alignment horizontal="center" vertical="center"/>
    </xf>
    <xf numFmtId="164" fontId="15" fillId="4" borderId="3" xfId="1" applyNumberFormat="1" applyFont="1" applyFill="1" applyBorder="1" applyAlignment="1">
      <alignment horizontal="center" vertical="center"/>
    </xf>
    <xf numFmtId="18" fontId="46" fillId="16" borderId="8" xfId="0" quotePrefix="1" applyNumberFormat="1" applyFont="1" applyFill="1" applyBorder="1" applyAlignment="1">
      <alignment horizontal="center" vertical="center"/>
    </xf>
    <xf numFmtId="164" fontId="57" fillId="0" borderId="3" xfId="1" applyNumberFormat="1" applyFont="1" applyFill="1" applyBorder="1"/>
    <xf numFmtId="0" fontId="24" fillId="0" borderId="6" xfId="0" applyFont="1" applyBorder="1" applyAlignment="1">
      <alignment horizontal="center" vertical="center"/>
    </xf>
    <xf numFmtId="164" fontId="68" fillId="0" borderId="3" xfId="1" applyNumberFormat="1" applyFont="1" applyFill="1" applyBorder="1" applyAlignment="1">
      <alignment vertical="center"/>
    </xf>
    <xf numFmtId="0" fontId="46" fillId="0" borderId="8" xfId="0" applyFont="1" applyBorder="1" applyAlignment="1">
      <alignment horizontal="center" vertical="center" wrapText="1"/>
    </xf>
    <xf numFmtId="0" fontId="46" fillId="0" borderId="9" xfId="0" applyFont="1" applyBorder="1" applyAlignment="1">
      <alignment horizontal="center" vertical="center" wrapText="1"/>
    </xf>
    <xf numFmtId="0" fontId="24" fillId="17" borderId="0" xfId="0" applyFont="1" applyFill="1" applyAlignment="1">
      <alignment horizontal="center" vertical="center" wrapText="1"/>
    </xf>
    <xf numFmtId="0" fontId="69" fillId="0" borderId="4" xfId="0" applyFont="1" applyBorder="1" applyAlignment="1">
      <alignment horizontal="center" vertical="center" wrapText="1"/>
    </xf>
    <xf numFmtId="164" fontId="70" fillId="0" borderId="3" xfId="1" applyNumberFormat="1" applyFont="1" applyFill="1" applyBorder="1" applyAlignment="1">
      <alignment horizontal="center" vertical="center"/>
    </xf>
    <xf numFmtId="0" fontId="69" fillId="0" borderId="8" xfId="0" applyFont="1" applyBorder="1" applyAlignment="1">
      <alignment horizontal="center" vertical="center" wrapText="1"/>
    </xf>
    <xf numFmtId="0" fontId="57" fillId="0" borderId="3" xfId="0" applyFont="1" applyBorder="1"/>
    <xf numFmtId="164" fontId="57" fillId="8" borderId="3" xfId="1" applyNumberFormat="1" applyFont="1" applyFill="1" applyBorder="1" applyAlignment="1">
      <alignment horizontal="right" vertical="center"/>
    </xf>
    <xf numFmtId="0" fontId="46" fillId="0" borderId="9" xfId="0" applyFont="1" applyBorder="1"/>
    <xf numFmtId="164" fontId="71" fillId="0" borderId="3" xfId="1" applyNumberFormat="1" applyFont="1" applyFill="1" applyBorder="1" applyAlignment="1">
      <alignment vertical="center"/>
    </xf>
    <xf numFmtId="164" fontId="57" fillId="4" borderId="3" xfId="1" applyNumberFormat="1" applyFont="1" applyFill="1" applyBorder="1" applyAlignment="1">
      <alignment vertical="center"/>
    </xf>
    <xf numFmtId="18" fontId="46" fillId="0" borderId="4" xfId="0" quotePrefix="1" applyNumberFormat="1" applyFont="1" applyBorder="1" applyAlignment="1">
      <alignment horizontal="center" vertical="center" wrapText="1"/>
    </xf>
    <xf numFmtId="18" fontId="46" fillId="0" borderId="8" xfId="0" quotePrefix="1" applyNumberFormat="1" applyFont="1" applyBorder="1" applyAlignment="1">
      <alignment horizontal="center" vertical="center" wrapText="1"/>
    </xf>
    <xf numFmtId="164" fontId="57" fillId="4" borderId="3" xfId="1" applyNumberFormat="1" applyFont="1" applyFill="1" applyBorder="1" applyAlignment="1">
      <alignment horizontal="center" vertical="center"/>
    </xf>
    <xf numFmtId="164" fontId="7" fillId="0" borderId="9" xfId="1" applyNumberFormat="1" applyFont="1" applyFill="1" applyBorder="1" applyAlignment="1">
      <alignment horizontal="center" vertical="center"/>
    </xf>
    <xf numFmtId="0" fontId="0" fillId="0" borderId="3" xfId="0" applyBorder="1"/>
    <xf numFmtId="164" fontId="7" fillId="0" borderId="9" xfId="1" applyNumberFormat="1" applyFont="1" applyBorder="1" applyAlignment="1">
      <alignment horizontal="center" vertical="center"/>
    </xf>
    <xf numFmtId="164" fontId="57" fillId="4" borderId="9" xfId="1" applyNumberFormat="1" applyFont="1" applyFill="1" applyBorder="1" applyAlignment="1">
      <alignment horizontal="center" vertical="center"/>
    </xf>
    <xf numFmtId="43" fontId="56" fillId="0" borderId="0" xfId="0" applyNumberFormat="1" applyFont="1" applyAlignment="1">
      <alignment horizontal="center" vertical="center"/>
    </xf>
    <xf numFmtId="0" fontId="52" fillId="0" borderId="4" xfId="0" applyFont="1" applyBorder="1" applyAlignment="1">
      <alignment horizontal="center" vertical="center" wrapText="1"/>
    </xf>
    <xf numFmtId="164" fontId="14" fillId="0" borderId="3" xfId="1" applyNumberFormat="1" applyFont="1" applyFill="1" applyBorder="1" applyAlignment="1">
      <alignment vertical="center"/>
    </xf>
    <xf numFmtId="164" fontId="72" fillId="0" borderId="3" xfId="1" applyNumberFormat="1" applyFont="1" applyFill="1" applyBorder="1" applyAlignment="1">
      <alignment vertical="center"/>
    </xf>
    <xf numFmtId="164" fontId="72" fillId="6" borderId="3" xfId="1" applyNumberFormat="1" applyFont="1" applyFill="1" applyBorder="1" applyAlignment="1">
      <alignment vertical="center"/>
    </xf>
    <xf numFmtId="164" fontId="72" fillId="0" borderId="3" xfId="1" applyNumberFormat="1" applyFont="1" applyFill="1" applyBorder="1" applyAlignment="1">
      <alignment horizontal="center" vertical="center"/>
    </xf>
    <xf numFmtId="164" fontId="72" fillId="0" borderId="2" xfId="1" applyNumberFormat="1" applyFont="1" applyFill="1" applyBorder="1" applyAlignment="1">
      <alignment horizontal="center" vertical="center"/>
    </xf>
    <xf numFmtId="164" fontId="72" fillId="0" borderId="20" xfId="1" applyNumberFormat="1" applyFont="1" applyFill="1" applyBorder="1" applyAlignment="1">
      <alignment horizontal="center" vertical="center"/>
    </xf>
    <xf numFmtId="164" fontId="72" fillId="0" borderId="6" xfId="1" applyNumberFormat="1" applyFont="1" applyFill="1" applyBorder="1" applyAlignment="1">
      <alignment horizontal="center" vertical="center"/>
    </xf>
    <xf numFmtId="164" fontId="72" fillId="0" borderId="3" xfId="1" applyNumberFormat="1" applyFont="1" applyFill="1" applyBorder="1" applyAlignment="1">
      <alignment horizontal="right" vertical="center"/>
    </xf>
    <xf numFmtId="0" fontId="24" fillId="0" borderId="3" xfId="0" applyFont="1" applyBorder="1" applyAlignment="1">
      <alignment vertical="center"/>
    </xf>
    <xf numFmtId="1" fontId="46" fillId="0" borderId="4" xfId="0" applyNumberFormat="1" applyFont="1" applyBorder="1" applyAlignment="1">
      <alignment horizontal="center" vertical="center"/>
    </xf>
    <xf numFmtId="1" fontId="46" fillId="0" borderId="8" xfId="0" applyNumberFormat="1" applyFont="1" applyBorder="1" applyAlignment="1">
      <alignment horizontal="center" vertical="center"/>
    </xf>
    <xf numFmtId="164" fontId="8" fillId="0" borderId="3" xfId="1" applyNumberFormat="1" applyFont="1" applyBorder="1" applyAlignment="1">
      <alignment vertical="center"/>
    </xf>
    <xf numFmtId="164" fontId="11" fillId="0" borderId="3" xfId="1" applyNumberFormat="1" applyFont="1" applyBorder="1" applyAlignment="1">
      <alignment vertical="center"/>
    </xf>
    <xf numFmtId="164" fontId="57" fillId="0" borderId="3" xfId="1" applyNumberFormat="1" applyFont="1" applyBorder="1" applyAlignment="1">
      <alignment vertical="center"/>
    </xf>
    <xf numFmtId="1" fontId="46" fillId="0" borderId="8" xfId="0" applyNumberFormat="1" applyFont="1" applyBorder="1" applyAlignment="1">
      <alignment vertical="center"/>
    </xf>
    <xf numFmtId="164" fontId="57" fillId="0" borderId="3" xfId="1" applyNumberFormat="1" applyFont="1" applyBorder="1" applyAlignment="1">
      <alignment horizontal="center" vertical="center"/>
    </xf>
    <xf numFmtId="164" fontId="57" fillId="0" borderId="3" xfId="1" applyNumberFormat="1" applyFont="1" applyBorder="1" applyAlignment="1">
      <alignment horizontal="right" vertical="center"/>
    </xf>
    <xf numFmtId="164" fontId="57" fillId="0" borderId="0" xfId="1" applyNumberFormat="1" applyFont="1" applyAlignment="1">
      <alignment vertical="center"/>
    </xf>
    <xf numFmtId="164" fontId="24" fillId="0" borderId="0" xfId="1" applyNumberFormat="1" applyFont="1" applyAlignment="1">
      <alignment vertical="center"/>
    </xf>
    <xf numFmtId="164" fontId="57" fillId="0" borderId="3" xfId="1" applyNumberFormat="1" applyFont="1" applyFill="1" applyBorder="1" applyAlignment="1">
      <alignment horizontal="left"/>
    </xf>
    <xf numFmtId="1" fontId="73" fillId="0" borderId="4" xfId="0" quotePrefix="1" applyNumberFormat="1" applyFont="1" applyBorder="1" applyAlignment="1">
      <alignment horizontal="center" vertical="center" wrapText="1"/>
    </xf>
    <xf numFmtId="0" fontId="24" fillId="6" borderId="3" xfId="0" applyFont="1" applyFill="1" applyBorder="1" applyAlignment="1">
      <alignment vertical="center" wrapText="1"/>
    </xf>
    <xf numFmtId="1" fontId="73" fillId="0" borderId="8" xfId="0" quotePrefix="1" applyNumberFormat="1" applyFont="1" applyBorder="1" applyAlignment="1">
      <alignment horizontal="center" vertical="center" wrapText="1"/>
    </xf>
    <xf numFmtId="18" fontId="73" fillId="0" borderId="4" xfId="0" quotePrefix="1" applyNumberFormat="1" applyFont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18" fontId="73" fillId="0" borderId="8" xfId="0" quotePrefix="1" applyNumberFormat="1" applyFont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vertical="center"/>
    </xf>
    <xf numFmtId="164" fontId="57" fillId="0" borderId="6" xfId="1" applyNumberFormat="1" applyFont="1" applyFill="1" applyBorder="1" applyAlignment="1">
      <alignment vertical="center"/>
    </xf>
    <xf numFmtId="0" fontId="37" fillId="0" borderId="0" xfId="0" applyFont="1" applyAlignment="1">
      <alignment horizontal="left"/>
    </xf>
    <xf numFmtId="164" fontId="29" fillId="0" borderId="14" xfId="1" applyNumberFormat="1" applyFont="1" applyFill="1" applyBorder="1" applyAlignment="1">
      <alignment vertical="center"/>
    </xf>
    <xf numFmtId="164" fontId="29" fillId="0" borderId="12" xfId="1" applyNumberFormat="1" applyFont="1" applyFill="1" applyBorder="1" applyAlignment="1">
      <alignment vertical="center"/>
    </xf>
    <xf numFmtId="18" fontId="46" fillId="0" borderId="8" xfId="0" quotePrefix="1" applyNumberFormat="1" applyFont="1" applyBorder="1" applyAlignment="1">
      <alignment vertical="center" wrapText="1"/>
    </xf>
    <xf numFmtId="164" fontId="29" fillId="0" borderId="0" xfId="1" applyNumberFormat="1" applyFont="1" applyFill="1" applyBorder="1" applyAlignment="1">
      <alignment vertical="center"/>
    </xf>
    <xf numFmtId="164" fontId="29" fillId="0" borderId="13" xfId="1" applyNumberFormat="1" applyFont="1" applyFill="1" applyBorder="1" applyAlignment="1">
      <alignment vertical="center"/>
    </xf>
    <xf numFmtId="0" fontId="24" fillId="6" borderId="4" xfId="0" applyFont="1" applyFill="1" applyBorder="1" applyAlignment="1">
      <alignment horizontal="center" vertical="center"/>
    </xf>
    <xf numFmtId="0" fontId="24" fillId="6" borderId="9" xfId="0" applyFont="1" applyFill="1" applyBorder="1" applyAlignment="1">
      <alignment horizontal="center" vertical="center"/>
    </xf>
    <xf numFmtId="18" fontId="47" fillId="0" borderId="8" xfId="0" quotePrefix="1" applyNumberFormat="1" applyFont="1" applyBorder="1" applyAlignment="1">
      <alignment horizontal="center" vertical="center" wrapText="1"/>
    </xf>
    <xf numFmtId="0" fontId="16" fillId="7" borderId="14" xfId="0" applyFont="1" applyFill="1" applyBorder="1" applyAlignment="1">
      <alignment horizontal="center" vertical="center" wrapText="1"/>
    </xf>
    <xf numFmtId="18" fontId="74" fillId="0" borderId="4" xfId="0" quotePrefix="1" applyNumberFormat="1" applyFont="1" applyBorder="1" applyAlignment="1">
      <alignment horizontal="center" vertical="center" wrapText="1"/>
    </xf>
    <xf numFmtId="18" fontId="74" fillId="0" borderId="8" xfId="0" quotePrefix="1" applyNumberFormat="1" applyFont="1" applyBorder="1" applyAlignment="1">
      <alignment horizontal="center" vertical="center" wrapText="1"/>
    </xf>
    <xf numFmtId="164" fontId="7" fillId="6" borderId="3" xfId="1" applyNumberFormat="1" applyFont="1" applyFill="1" applyBorder="1" applyAlignment="1">
      <alignment vertical="center"/>
    </xf>
    <xf numFmtId="0" fontId="24" fillId="0" borderId="5" xfId="0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53" fillId="7" borderId="3" xfId="0" applyFont="1" applyFill="1" applyBorder="1" applyAlignment="1">
      <alignment horizontal="center" vertical="center"/>
    </xf>
    <xf numFmtId="0" fontId="24" fillId="6" borderId="8" xfId="0" applyFont="1" applyFill="1" applyBorder="1" applyAlignment="1">
      <alignment horizontal="center" vertical="center"/>
    </xf>
    <xf numFmtId="164" fontId="9" fillId="8" borderId="3" xfId="1" applyNumberFormat="1" applyFont="1" applyFill="1" applyBorder="1" applyAlignment="1">
      <alignment vertical="center"/>
    </xf>
    <xf numFmtId="164" fontId="57" fillId="4" borderId="3" xfId="1" applyNumberFormat="1" applyFont="1" applyFill="1" applyBorder="1" applyAlignment="1">
      <alignment horizontal="right" vertical="center"/>
    </xf>
    <xf numFmtId="1" fontId="60" fillId="0" borderId="4" xfId="0" applyNumberFormat="1" applyFont="1" applyBorder="1" applyAlignment="1">
      <alignment horizontal="center" vertical="center" wrapText="1"/>
    </xf>
    <xf numFmtId="1" fontId="60" fillId="0" borderId="8" xfId="0" applyNumberFormat="1" applyFont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/>
    </xf>
    <xf numFmtId="1" fontId="46" fillId="0" borderId="8" xfId="0" applyNumberFormat="1" applyFont="1" applyBorder="1" applyAlignment="1">
      <alignment vertical="center" wrapText="1"/>
    </xf>
    <xf numFmtId="1" fontId="60" fillId="0" borderId="8" xfId="0" applyNumberFormat="1" applyFont="1" applyBorder="1" applyAlignment="1">
      <alignment vertical="center" wrapText="1"/>
    </xf>
    <xf numFmtId="1" fontId="60" fillId="16" borderId="4" xfId="0" applyNumberFormat="1" applyFont="1" applyFill="1" applyBorder="1" applyAlignment="1">
      <alignment horizontal="center" vertical="center" wrapText="1"/>
    </xf>
    <xf numFmtId="164" fontId="22" fillId="0" borderId="3" xfId="1" applyNumberFormat="1" applyFont="1" applyFill="1" applyBorder="1" applyAlignment="1">
      <alignment horizontal="center" vertical="center"/>
    </xf>
    <xf numFmtId="1" fontId="60" fillId="16" borderId="8" xfId="0" applyNumberFormat="1" applyFont="1" applyFill="1" applyBorder="1" applyAlignment="1">
      <alignment horizontal="center" vertical="center" wrapText="1"/>
    </xf>
    <xf numFmtId="1" fontId="74" fillId="0" borderId="4" xfId="0" applyNumberFormat="1" applyFont="1" applyBorder="1" applyAlignment="1">
      <alignment horizontal="center" vertical="center" wrapText="1"/>
    </xf>
    <xf numFmtId="1" fontId="74" fillId="0" borderId="8" xfId="0" applyNumberFormat="1" applyFont="1" applyBorder="1" applyAlignment="1">
      <alignment horizontal="center" vertical="center" wrapText="1"/>
    </xf>
    <xf numFmtId="0" fontId="32" fillId="6" borderId="4" xfId="0" applyFont="1" applyFill="1" applyBorder="1" applyAlignment="1">
      <alignment horizontal="center" vertical="center" wrapText="1"/>
    </xf>
    <xf numFmtId="0" fontId="32" fillId="6" borderId="8" xfId="0" applyFont="1" applyFill="1" applyBorder="1" applyAlignment="1">
      <alignment horizontal="center" vertical="center" wrapText="1"/>
    </xf>
    <xf numFmtId="0" fontId="32" fillId="6" borderId="9" xfId="0" applyFont="1" applyFill="1" applyBorder="1" applyAlignment="1">
      <alignment horizontal="center" vertical="center" wrapText="1"/>
    </xf>
    <xf numFmtId="164" fontId="57" fillId="0" borderId="0" xfId="1" applyNumberFormat="1" applyFont="1" applyFill="1" applyBorder="1" applyAlignment="1">
      <alignment horizontal="right" vertical="center"/>
    </xf>
    <xf numFmtId="164" fontId="11" fillId="0" borderId="14" xfId="1" applyNumberFormat="1" applyFont="1" applyFill="1" applyBorder="1" applyAlignment="1">
      <alignment vertical="center"/>
    </xf>
    <xf numFmtId="164" fontId="11" fillId="0" borderId="12" xfId="1" applyNumberFormat="1" applyFont="1" applyFill="1" applyBorder="1" applyAlignment="1">
      <alignment vertical="center"/>
    </xf>
    <xf numFmtId="0" fontId="21" fillId="7" borderId="0" xfId="0" applyFont="1" applyFill="1" applyAlignment="1">
      <alignment vertical="center" wrapText="1"/>
    </xf>
    <xf numFmtId="164" fontId="41" fillId="5" borderId="9" xfId="1" applyNumberFormat="1" applyFont="1" applyFill="1" applyBorder="1" applyAlignment="1">
      <alignment vertical="center"/>
    </xf>
    <xf numFmtId="18" fontId="74" fillId="0" borderId="8" xfId="0" quotePrefix="1" applyNumberFormat="1" applyFont="1" applyBorder="1" applyAlignment="1">
      <alignment vertical="center" wrapText="1"/>
    </xf>
    <xf numFmtId="0" fontId="24" fillId="0" borderId="14" xfId="0" applyFont="1" applyBorder="1" applyAlignment="1">
      <alignment vertical="center"/>
    </xf>
    <xf numFmtId="0" fontId="24" fillId="0" borderId="12" xfId="0" applyFont="1" applyBorder="1" applyAlignment="1">
      <alignment vertical="center"/>
    </xf>
    <xf numFmtId="0" fontId="24" fillId="0" borderId="13" xfId="0" applyFont="1" applyBorder="1" applyAlignment="1">
      <alignment vertical="center"/>
    </xf>
    <xf numFmtId="0" fontId="42" fillId="0" borderId="3" xfId="0" applyFont="1" applyBorder="1"/>
    <xf numFmtId="43" fontId="42" fillId="0" borderId="3" xfId="1" applyFont="1" applyBorder="1"/>
    <xf numFmtId="17" fontId="24" fillId="0" borderId="3" xfId="0" applyNumberFormat="1" applyFont="1" applyBorder="1"/>
    <xf numFmtId="43" fontId="24" fillId="0" borderId="3" xfId="1" applyFont="1" applyBorder="1"/>
    <xf numFmtId="0" fontId="24" fillId="0" borderId="3" xfId="0" applyFont="1" applyBorder="1" applyAlignment="1">
      <alignment horizontal="center"/>
    </xf>
    <xf numFmtId="0" fontId="24" fillId="0" borderId="3" xfId="0" applyFont="1" applyBorder="1"/>
    <xf numFmtId="0" fontId="24" fillId="0" borderId="3" xfId="0" applyFont="1" applyBorder="1" applyAlignment="1">
      <alignment wrapText="1"/>
    </xf>
    <xf numFmtId="0" fontId="75" fillId="0" borderId="0" xfId="0" applyFont="1"/>
    <xf numFmtId="0" fontId="18" fillId="0" borderId="0" xfId="0" applyFont="1"/>
    <xf numFmtId="0" fontId="76" fillId="0" borderId="0" xfId="0" applyFont="1"/>
    <xf numFmtId="0" fontId="77" fillId="5" borderId="0" xfId="0" applyFont="1" applyFill="1" applyAlignment="1">
      <alignment horizontal="left" vertical="center"/>
    </xf>
    <xf numFmtId="43" fontId="0" fillId="5" borderId="0" xfId="1" applyFont="1" applyFill="1" applyAlignment="1">
      <alignment horizontal="centerContinuous" vertical="center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centerContinuous" vertical="center"/>
    </xf>
    <xf numFmtId="0" fontId="78" fillId="4" borderId="0" xfId="0" applyFont="1" applyFill="1" applyAlignment="1">
      <alignment horizontal="center" vertical="center"/>
    </xf>
    <xf numFmtId="0" fontId="78" fillId="4" borderId="1" xfId="0" applyFont="1" applyFill="1" applyBorder="1" applyAlignment="1">
      <alignment horizontal="center" vertical="center"/>
    </xf>
    <xf numFmtId="1" fontId="79" fillId="0" borderId="4" xfId="0" quotePrefix="1" applyNumberFormat="1" applyFont="1" applyBorder="1" applyAlignment="1">
      <alignment horizontal="center" vertical="center"/>
    </xf>
    <xf numFmtId="0" fontId="66" fillId="6" borderId="4" xfId="0" applyFont="1" applyFill="1" applyBorder="1" applyAlignment="1">
      <alignment horizontal="center" vertical="center" wrapText="1"/>
    </xf>
    <xf numFmtId="1" fontId="79" fillId="0" borderId="8" xfId="0" quotePrefix="1" applyNumberFormat="1" applyFont="1" applyBorder="1" applyAlignment="1">
      <alignment horizontal="center" vertical="center"/>
    </xf>
    <xf numFmtId="0" fontId="66" fillId="6" borderId="8" xfId="0" applyFont="1" applyFill="1" applyBorder="1" applyAlignment="1">
      <alignment horizontal="center" vertical="center" wrapText="1"/>
    </xf>
    <xf numFmtId="0" fontId="66" fillId="6" borderId="9" xfId="0" applyFont="1" applyFill="1" applyBorder="1" applyAlignment="1">
      <alignment horizontal="center" vertical="center" wrapText="1"/>
    </xf>
    <xf numFmtId="0" fontId="67" fillId="0" borderId="0" xfId="0" applyFont="1" applyAlignment="1">
      <alignment vertical="center"/>
    </xf>
    <xf numFmtId="0" fontId="80" fillId="0" borderId="0" xfId="0" applyFont="1"/>
    <xf numFmtId="0" fontId="67" fillId="0" borderId="3" xfId="0" applyFont="1" applyBorder="1" applyAlignment="1">
      <alignment horizontal="center" vertical="center"/>
    </xf>
    <xf numFmtId="1" fontId="79" fillId="0" borderId="8" xfId="0" quotePrefix="1" applyNumberFormat="1" applyFont="1" applyBorder="1" applyAlignment="1">
      <alignment vertical="center"/>
    </xf>
    <xf numFmtId="1" fontId="81" fillId="0" borderId="4" xfId="0" quotePrefix="1" applyNumberFormat="1" applyFont="1" applyBorder="1" applyAlignment="1">
      <alignment horizontal="center" vertical="center" wrapText="1"/>
    </xf>
    <xf numFmtId="1" fontId="81" fillId="0" borderId="8" xfId="0" quotePrefix="1" applyNumberFormat="1" applyFont="1" applyBorder="1" applyAlignment="1">
      <alignment horizontal="center" vertical="center" wrapText="1"/>
    </xf>
    <xf numFmtId="164" fontId="7" fillId="0" borderId="3" xfId="1" applyNumberFormat="1" applyFont="1" applyFill="1" applyBorder="1" applyAlignment="1">
      <alignment horizontal="right" vertical="center"/>
    </xf>
    <xf numFmtId="0" fontId="82" fillId="0" borderId="3" xfId="0" applyFont="1" applyBorder="1" applyAlignment="1">
      <alignment vertical="center" wrapText="1"/>
    </xf>
    <xf numFmtId="0" fontId="83" fillId="0" borderId="3" xfId="0" applyFont="1" applyBorder="1" applyAlignment="1">
      <alignment horizontal="center" vertical="center"/>
    </xf>
    <xf numFmtId="164" fontId="83" fillId="0" borderId="3" xfId="1" applyNumberFormat="1" applyFont="1" applyFill="1" applyBorder="1" applyAlignment="1">
      <alignment vertical="center"/>
    </xf>
    <xf numFmtId="3" fontId="7" fillId="0" borderId="3" xfId="0" applyNumberFormat="1" applyFont="1" applyBorder="1" applyAlignment="1">
      <alignment horizontal="right" vertical="center"/>
    </xf>
    <xf numFmtId="0" fontId="84" fillId="0" borderId="3" xfId="0" applyFont="1" applyBorder="1" applyAlignment="1">
      <alignment horizontal="center" vertical="center"/>
    </xf>
    <xf numFmtId="164" fontId="84" fillId="0" borderId="3" xfId="1" applyNumberFormat="1" applyFont="1" applyFill="1" applyBorder="1" applyAlignment="1">
      <alignment vertical="center"/>
    </xf>
    <xf numFmtId="1" fontId="79" fillId="0" borderId="8" xfId="0" quotePrefix="1" applyNumberFormat="1" applyFont="1" applyBorder="1" applyAlignment="1">
      <alignment vertical="center" wrapText="1"/>
    </xf>
    <xf numFmtId="164" fontId="84" fillId="0" borderId="2" xfId="1" applyNumberFormat="1" applyFont="1" applyFill="1" applyBorder="1" applyAlignment="1">
      <alignment horizontal="center" vertical="center"/>
    </xf>
    <xf numFmtId="164" fontId="84" fillId="0" borderId="20" xfId="1" applyNumberFormat="1" applyFont="1" applyFill="1" applyBorder="1" applyAlignment="1">
      <alignment horizontal="center" vertical="center"/>
    </xf>
    <xf numFmtId="164" fontId="84" fillId="0" borderId="6" xfId="1" applyNumberFormat="1" applyFont="1" applyFill="1" applyBorder="1" applyAlignment="1">
      <alignment horizontal="center" vertical="center"/>
    </xf>
    <xf numFmtId="164" fontId="84" fillId="4" borderId="3" xfId="1" applyNumberFormat="1" applyFont="1" applyFill="1" applyBorder="1" applyAlignment="1">
      <alignment vertical="center"/>
    </xf>
    <xf numFmtId="164" fontId="24" fillId="0" borderId="3" xfId="1" applyNumberFormat="1" applyFont="1" applyFill="1" applyBorder="1" applyAlignment="1">
      <alignment horizontal="right" vertical="center"/>
    </xf>
    <xf numFmtId="0" fontId="84" fillId="0" borderId="0" xfId="0" applyFont="1" applyAlignment="1">
      <alignment horizontal="center" vertical="center"/>
    </xf>
    <xf numFmtId="164" fontId="84" fillId="0" borderId="10" xfId="1" applyNumberFormat="1" applyFont="1" applyFill="1" applyBorder="1" applyAlignment="1">
      <alignment vertical="center"/>
    </xf>
    <xf numFmtId="0" fontId="43" fillId="0" borderId="4" xfId="0" applyFont="1" applyBorder="1" applyAlignment="1">
      <alignment horizontal="center" vertical="center" wrapText="1"/>
    </xf>
    <xf numFmtId="0" fontId="82" fillId="0" borderId="3" xfId="0" applyFont="1" applyBorder="1" applyAlignment="1">
      <alignment vertical="center"/>
    </xf>
    <xf numFmtId="164" fontId="84" fillId="0" borderId="2" xfId="1" applyNumberFormat="1" applyFont="1" applyFill="1" applyBorder="1" applyAlignment="1">
      <alignment vertical="center"/>
    </xf>
    <xf numFmtId="164" fontId="84" fillId="0" borderId="20" xfId="1" applyNumberFormat="1" applyFont="1" applyFill="1" applyBorder="1" applyAlignment="1">
      <alignment vertical="center"/>
    </xf>
    <xf numFmtId="164" fontId="84" fillId="0" borderId="6" xfId="1" applyNumberFormat="1" applyFont="1" applyFill="1" applyBorder="1" applyAlignment="1">
      <alignment vertical="center"/>
    </xf>
    <xf numFmtId="0" fontId="66" fillId="6" borderId="8" xfId="0" applyFont="1" applyFill="1" applyBorder="1" applyAlignment="1">
      <alignment horizontal="center" vertical="center"/>
    </xf>
    <xf numFmtId="164" fontId="71" fillId="0" borderId="3" xfId="1" applyNumberFormat="1" applyFont="1" applyFill="1" applyBorder="1" applyAlignment="1">
      <alignment horizontal="center" vertical="center"/>
    </xf>
    <xf numFmtId="0" fontId="66" fillId="6" borderId="3" xfId="0" applyFont="1" applyFill="1" applyBorder="1" applyAlignment="1">
      <alignment vertical="center"/>
    </xf>
    <xf numFmtId="0" fontId="66" fillId="0" borderId="3" xfId="0" applyFont="1" applyBorder="1" applyAlignment="1">
      <alignment vertical="center"/>
    </xf>
    <xf numFmtId="164" fontId="71" fillId="23" borderId="3" xfId="1" applyNumberFormat="1" applyFont="1" applyFill="1" applyBorder="1" applyAlignment="1">
      <alignment vertical="center"/>
    </xf>
    <xf numFmtId="0" fontId="31" fillId="0" borderId="5" xfId="0" applyFont="1" applyBorder="1" applyAlignment="1">
      <alignment horizontal="center" vertical="center"/>
    </xf>
    <xf numFmtId="0" fontId="31" fillId="0" borderId="14" xfId="0" applyFont="1" applyBorder="1" applyAlignment="1">
      <alignment horizontal="center" vertical="center"/>
    </xf>
    <xf numFmtId="0" fontId="31" fillId="0" borderId="7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85" fillId="6" borderId="3" xfId="0" applyFont="1" applyFill="1" applyBorder="1" applyAlignment="1">
      <alignment vertical="center" wrapText="1"/>
    </xf>
    <xf numFmtId="0" fontId="85" fillId="0" borderId="3" xfId="0" applyFont="1" applyBorder="1" applyAlignment="1">
      <alignment vertical="center"/>
    </xf>
    <xf numFmtId="0" fontId="67" fillId="0" borderId="0" xfId="0" applyFont="1" applyAlignment="1">
      <alignment horizontal="center" vertical="center" wrapText="1"/>
    </xf>
    <xf numFmtId="164" fontId="7" fillId="24" borderId="3" xfId="1" applyNumberFormat="1" applyFont="1" applyFill="1" applyBorder="1" applyAlignment="1">
      <alignment horizontal="center" vertical="center"/>
    </xf>
    <xf numFmtId="164" fontId="7" fillId="25" borderId="3" xfId="1" applyNumberFormat="1" applyFont="1" applyFill="1" applyBorder="1" applyAlignment="1">
      <alignment horizontal="center" vertical="center"/>
    </xf>
    <xf numFmtId="164" fontId="8" fillId="26" borderId="3" xfId="1" applyNumberFormat="1" applyFont="1" applyFill="1" applyBorder="1" applyAlignment="1">
      <alignment vertical="center"/>
    </xf>
    <xf numFmtId="1" fontId="81" fillId="0" borderId="8" xfId="0" quotePrefix="1" applyNumberFormat="1" applyFont="1" applyBorder="1" applyAlignment="1">
      <alignment vertical="center" wrapText="1"/>
    </xf>
    <xf numFmtId="164" fontId="57" fillId="27" borderId="3" xfId="1" applyNumberFormat="1" applyFont="1" applyFill="1" applyBorder="1" applyAlignment="1">
      <alignment horizontal="right" vertical="center"/>
    </xf>
    <xf numFmtId="164" fontId="57" fillId="27" borderId="3" xfId="1" applyNumberFormat="1" applyFont="1" applyFill="1" applyBorder="1" applyAlignment="1">
      <alignment vertical="center"/>
    </xf>
    <xf numFmtId="0" fontId="41" fillId="0" borderId="8" xfId="0" applyFont="1" applyBorder="1" applyAlignment="1">
      <alignment horizontal="center" wrapText="1"/>
    </xf>
    <xf numFmtId="0" fontId="7" fillId="7" borderId="1" xfId="0" applyFont="1" applyFill="1" applyBorder="1" applyAlignment="1">
      <alignment horizontal="center" vertical="center" wrapText="1"/>
    </xf>
    <xf numFmtId="1" fontId="86" fillId="0" borderId="4" xfId="0" quotePrefix="1" applyNumberFormat="1" applyFont="1" applyBorder="1" applyAlignment="1">
      <alignment horizontal="center" vertical="center" wrapText="1"/>
    </xf>
    <xf numFmtId="1" fontId="86" fillId="0" borderId="8" xfId="0" quotePrefix="1" applyNumberFormat="1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164" fontId="11" fillId="0" borderId="20" xfId="1" applyNumberFormat="1" applyFont="1" applyFill="1" applyBorder="1" applyAlignment="1">
      <alignment vertical="center"/>
    </xf>
    <xf numFmtId="164" fontId="57" fillId="0" borderId="0" xfId="1" applyNumberFormat="1" applyFont="1" applyFill="1" applyBorder="1" applyAlignment="1">
      <alignment horizontal="center" vertical="center"/>
    </xf>
    <xf numFmtId="1" fontId="86" fillId="0" borderId="8" xfId="0" quotePrefix="1" applyNumberFormat="1" applyFont="1" applyBorder="1" applyAlignment="1">
      <alignment vertical="center" wrapText="1"/>
    </xf>
    <xf numFmtId="164" fontId="57" fillId="8" borderId="3" xfId="1" applyNumberFormat="1" applyFont="1" applyFill="1" applyBorder="1" applyAlignment="1">
      <alignment vertical="center"/>
    </xf>
    <xf numFmtId="164" fontId="24" fillId="9" borderId="0" xfId="1" applyNumberFormat="1" applyFont="1" applyFill="1" applyBorder="1" applyAlignment="1">
      <alignment vertical="center"/>
    </xf>
    <xf numFmtId="1" fontId="86" fillId="16" borderId="4" xfId="0" quotePrefix="1" applyNumberFormat="1" applyFont="1" applyFill="1" applyBorder="1" applyAlignment="1">
      <alignment horizontal="center" vertical="center" wrapText="1"/>
    </xf>
    <xf numFmtId="164" fontId="11" fillId="4" borderId="3" xfId="1" applyNumberFormat="1" applyFont="1" applyFill="1" applyBorder="1" applyAlignment="1">
      <alignment horizontal="center" vertical="center"/>
    </xf>
    <xf numFmtId="1" fontId="86" fillId="16" borderId="8" xfId="0" quotePrefix="1" applyNumberFormat="1" applyFont="1" applyFill="1" applyBorder="1" applyAlignment="1">
      <alignment horizontal="center" vertical="center" wrapText="1"/>
    </xf>
    <xf numFmtId="0" fontId="66" fillId="6" borderId="9" xfId="0" applyFont="1" applyFill="1" applyBorder="1" applyAlignment="1">
      <alignment vertical="center"/>
    </xf>
    <xf numFmtId="0" fontId="50" fillId="20" borderId="0" xfId="0" applyFont="1" applyFill="1" applyAlignment="1">
      <alignment horizontal="center" vertical="center"/>
    </xf>
    <xf numFmtId="1" fontId="87" fillId="0" borderId="4" xfId="0" quotePrefix="1" applyNumberFormat="1" applyFont="1" applyBorder="1" applyAlignment="1">
      <alignment horizontal="center" vertical="center" wrapText="1"/>
    </xf>
    <xf numFmtId="1" fontId="87" fillId="0" borderId="8" xfId="0" quotePrefix="1" applyNumberFormat="1" applyFont="1" applyBorder="1" applyAlignment="1">
      <alignment horizontal="center" vertical="center" wrapText="1"/>
    </xf>
    <xf numFmtId="1" fontId="87" fillId="0" borderId="8" xfId="0" quotePrefix="1" applyNumberFormat="1" applyFont="1" applyBorder="1" applyAlignment="1">
      <alignment vertical="center" wrapText="1"/>
    </xf>
    <xf numFmtId="1" fontId="88" fillId="0" borderId="4" xfId="0" quotePrefix="1" applyNumberFormat="1" applyFont="1" applyBorder="1" applyAlignment="1">
      <alignment horizontal="center" vertical="center"/>
    </xf>
    <xf numFmtId="1" fontId="88" fillId="0" borderId="8" xfId="0" quotePrefix="1" applyNumberFormat="1" applyFont="1" applyBorder="1" applyAlignment="1">
      <alignment horizontal="center" vertical="center"/>
    </xf>
    <xf numFmtId="1" fontId="88" fillId="0" borderId="8" xfId="0" quotePrefix="1" applyNumberFormat="1" applyFont="1" applyBorder="1" applyAlignment="1">
      <alignment vertical="center"/>
    </xf>
    <xf numFmtId="164" fontId="55" fillId="0" borderId="4" xfId="1" applyNumberFormat="1" applyFont="1" applyFill="1" applyBorder="1" applyAlignment="1">
      <alignment horizontal="center" vertical="center"/>
    </xf>
    <xf numFmtId="1" fontId="88" fillId="0" borderId="4" xfId="0" quotePrefix="1" applyNumberFormat="1" applyFont="1" applyBorder="1" applyAlignment="1">
      <alignment horizontal="center" vertical="center" wrapText="1"/>
    </xf>
    <xf numFmtId="164" fontId="41" fillId="5" borderId="2" xfId="1" applyNumberFormat="1" applyFont="1" applyFill="1" applyBorder="1" applyAlignment="1">
      <alignment vertical="center"/>
    </xf>
    <xf numFmtId="164" fontId="7" fillId="0" borderId="6" xfId="1" applyNumberFormat="1" applyFont="1" applyFill="1" applyBorder="1" applyAlignment="1">
      <alignment horizontal="center" vertical="center"/>
    </xf>
    <xf numFmtId="1" fontId="88" fillId="0" borderId="8" xfId="0" quotePrefix="1" applyNumberFormat="1" applyFont="1" applyBorder="1" applyAlignment="1">
      <alignment horizontal="center" vertical="center" wrapText="1"/>
    </xf>
    <xf numFmtId="0" fontId="32" fillId="0" borderId="5" xfId="0" applyFont="1" applyBorder="1" applyAlignment="1">
      <alignment horizontal="center" vertical="center" wrapText="1"/>
    </xf>
    <xf numFmtId="0" fontId="32" fillId="0" borderId="14" xfId="0" applyFont="1" applyBorder="1" applyAlignment="1">
      <alignment horizontal="center" vertical="center" wrapText="1"/>
    </xf>
    <xf numFmtId="0" fontId="32" fillId="0" borderId="12" xfId="0" applyFont="1" applyBorder="1" applyAlignment="1">
      <alignment horizontal="center" vertical="center" wrapText="1"/>
    </xf>
    <xf numFmtId="0" fontId="32" fillId="0" borderId="7" xfId="0" applyFont="1" applyBorder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0" fontId="32" fillId="0" borderId="13" xfId="0" applyFont="1" applyBorder="1" applyAlignment="1">
      <alignment horizontal="center" vertical="center" wrapText="1"/>
    </xf>
    <xf numFmtId="0" fontId="32" fillId="0" borderId="17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 vertical="center" wrapText="1"/>
    </xf>
    <xf numFmtId="0" fontId="82" fillId="6" borderId="4" xfId="0" applyFont="1" applyFill="1" applyBorder="1" applyAlignment="1">
      <alignment horizontal="center" vertical="center"/>
    </xf>
    <xf numFmtId="0" fontId="82" fillId="6" borderId="9" xfId="0" applyFont="1" applyFill="1" applyBorder="1" applyAlignment="1">
      <alignment horizontal="center" vertical="center"/>
    </xf>
    <xf numFmtId="0" fontId="50" fillId="20" borderId="7" xfId="0" applyFont="1" applyFill="1" applyBorder="1" applyAlignment="1">
      <alignment horizontal="center" vertical="center"/>
    </xf>
    <xf numFmtId="0" fontId="53" fillId="16" borderId="3" xfId="0" applyFont="1" applyFill="1" applyBorder="1" applyAlignment="1">
      <alignment horizontal="center" vertical="center"/>
    </xf>
    <xf numFmtId="0" fontId="82" fillId="6" borderId="4" xfId="0" applyFont="1" applyFill="1" applyBorder="1" applyAlignment="1">
      <alignment horizontal="center" vertical="center" wrapText="1"/>
    </xf>
    <xf numFmtId="0" fontId="82" fillId="6" borderId="8" xfId="0" applyFont="1" applyFill="1" applyBorder="1" applyAlignment="1">
      <alignment horizontal="center" vertical="center" wrapText="1"/>
    </xf>
    <xf numFmtId="0" fontId="82" fillId="6" borderId="9" xfId="0" applyFont="1" applyFill="1" applyBorder="1" applyAlignment="1">
      <alignment horizontal="center" vertical="center" wrapText="1"/>
    </xf>
    <xf numFmtId="164" fontId="89" fillId="4" borderId="3" xfId="1" applyNumberFormat="1" applyFont="1" applyFill="1" applyBorder="1" applyAlignment="1">
      <alignment vertical="center"/>
    </xf>
    <xf numFmtId="0" fontId="66" fillId="6" borderId="9" xfId="0" applyFont="1" applyFill="1" applyBorder="1" applyAlignment="1">
      <alignment vertical="center" wrapText="1"/>
    </xf>
    <xf numFmtId="1" fontId="90" fillId="0" borderId="4" xfId="0" quotePrefix="1" applyNumberFormat="1" applyFont="1" applyBorder="1" applyAlignment="1">
      <alignment horizontal="center" vertical="center" wrapText="1"/>
    </xf>
    <xf numFmtId="1" fontId="90" fillId="0" borderId="8" xfId="0" quotePrefix="1" applyNumberFormat="1" applyFont="1" applyBorder="1" applyAlignment="1">
      <alignment horizontal="center" vertical="center" wrapText="1"/>
    </xf>
    <xf numFmtId="0" fontId="67" fillId="0" borderId="5" xfId="0" applyFont="1" applyBorder="1" applyAlignment="1">
      <alignment vertical="center"/>
    </xf>
    <xf numFmtId="0" fontId="67" fillId="0" borderId="14" xfId="0" applyFont="1" applyBorder="1" applyAlignment="1">
      <alignment vertical="center"/>
    </xf>
    <xf numFmtId="0" fontId="67" fillId="0" borderId="12" xfId="0" applyFont="1" applyBorder="1" applyAlignment="1">
      <alignment vertical="center"/>
    </xf>
    <xf numFmtId="0" fontId="67" fillId="0" borderId="7" xfId="0" applyFont="1" applyBorder="1" applyAlignment="1">
      <alignment vertical="center"/>
    </xf>
    <xf numFmtId="0" fontId="67" fillId="0" borderId="13" xfId="0" applyFont="1" applyBorder="1" applyAlignment="1">
      <alignment vertical="center"/>
    </xf>
    <xf numFmtId="164" fontId="91" fillId="4" borderId="3" xfId="1" applyNumberFormat="1" applyFont="1" applyFill="1" applyBorder="1" applyAlignment="1">
      <alignment vertical="center"/>
    </xf>
    <xf numFmtId="1" fontId="92" fillId="0" borderId="4" xfId="0" quotePrefix="1" applyNumberFormat="1" applyFont="1" applyBorder="1" applyAlignment="1">
      <alignment horizontal="center" vertical="center" wrapText="1"/>
    </xf>
    <xf numFmtId="1" fontId="92" fillId="0" borderId="8" xfId="0" quotePrefix="1" applyNumberFormat="1" applyFont="1" applyBorder="1" applyAlignment="1">
      <alignment horizontal="center" vertical="center" wrapText="1"/>
    </xf>
    <xf numFmtId="0" fontId="67" fillId="0" borderId="17" xfId="0" applyFont="1" applyBorder="1" applyAlignment="1">
      <alignment vertical="center"/>
    </xf>
    <xf numFmtId="0" fontId="67" fillId="0" borderId="1" xfId="0" applyFont="1" applyBorder="1" applyAlignment="1">
      <alignment vertical="center"/>
    </xf>
    <xf numFmtId="0" fontId="67" fillId="0" borderId="18" xfId="0" applyFont="1" applyBorder="1" applyAlignment="1">
      <alignment vertical="center"/>
    </xf>
    <xf numFmtId="164" fontId="7" fillId="0" borderId="3" xfId="1" applyNumberFormat="1" applyFont="1" applyFill="1" applyBorder="1" applyAlignment="1">
      <alignment horizontal="center" vertical="center" wrapText="1"/>
    </xf>
    <xf numFmtId="164" fontId="32" fillId="4" borderId="3" xfId="1" applyNumberFormat="1" applyFont="1" applyFill="1" applyBorder="1" applyAlignment="1">
      <alignment vertical="center"/>
    </xf>
    <xf numFmtId="0" fontId="66" fillId="6" borderId="4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/>
    </xf>
    <xf numFmtId="0" fontId="8" fillId="7" borderId="20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66" fillId="6" borderId="9" xfId="0" applyFont="1" applyFill="1" applyBorder="1" applyAlignment="1">
      <alignment horizontal="center" vertical="center" wrapText="1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e0fd31006c0bfcd9/Documents/OPERA/OPERA%20SECURITY%20DUE%20ACCOUNT%20STATUS.xlsx" TargetMode="External"/><Relationship Id="rId1" Type="http://schemas.openxmlformats.org/officeDocument/2006/relationships/externalLinkPath" Target="OPERA/OPERA%20SECURITY%20DUE%20ACCOUNT%20STAT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CT 19 - DEC 2020"/>
      <sheetName val="2020 BANK STATEMENT"/>
      <sheetName val="NAMES OF RESIDENT"/>
      <sheetName val="ALL STREET IN OPERA"/>
      <sheetName val="Summary"/>
      <sheetName val="Sheet1"/>
      <sheetName val="Payment Coverage Calculator"/>
      <sheetName val="PayCovCal (v2)"/>
      <sheetName val="Detail1"/>
      <sheetName val="Detail2"/>
      <sheetName val="Analysis"/>
      <sheetName val="Configuration"/>
      <sheetName val="Ex-Residents"/>
      <sheetName val="OSHODI - EXCO OUTSTNDN"/>
      <sheetName val="1 - OJO KADIRI"/>
      <sheetName val="2 - IBRAHIM BABATUNDE STREET"/>
      <sheetName val="3 - GBOLAHAN BISHI"/>
      <sheetName val="4 - KAYODE ONI ANIMASHAUN"/>
      <sheetName val="BANK STATEMENT 2015-21 JUNE"/>
      <sheetName val="FORMAL FIN REC 2015 - 2020"/>
      <sheetName val="OLD FIN SEC RECORD"/>
      <sheetName val="BANK STATEMENT"/>
      <sheetName val="HASSAN"/>
      <sheetName val="NAMES OF OPERA"/>
      <sheetName val="UJU ASOMBA"/>
      <sheetName val="MICAH"/>
      <sheetName val="Sheet2"/>
      <sheetName val="FINANCIAL REPORT 2021 MAY 2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C1">
            <v>2026</v>
          </cell>
        </row>
        <row r="2">
          <cell r="C2" t="str">
            <v>1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Depth">
  <a:themeElements>
    <a:clrScheme name="Depth">
      <a:dk1>
        <a:sysClr val="windowText" lastClr="000000"/>
      </a:dk1>
      <a:lt1>
        <a:sysClr val="window" lastClr="FFFFFF"/>
      </a:lt1>
      <a:dk2>
        <a:srgbClr val="455F51"/>
      </a:dk2>
      <a:lt2>
        <a:srgbClr val="94D7E4"/>
      </a:lt2>
      <a:accent1>
        <a:srgbClr val="41AEBD"/>
      </a:accent1>
      <a:accent2>
        <a:srgbClr val="97E9D5"/>
      </a:accent2>
      <a:accent3>
        <a:srgbClr val="A2CF49"/>
      </a:accent3>
      <a:accent4>
        <a:srgbClr val="608F3D"/>
      </a:accent4>
      <a:accent5>
        <a:srgbClr val="F4DE3A"/>
      </a:accent5>
      <a:accent6>
        <a:srgbClr val="FCB11C"/>
      </a:accent6>
      <a:hlink>
        <a:srgbClr val="FBCA98"/>
      </a:hlink>
      <a:folHlink>
        <a:srgbClr val="D3B86D"/>
      </a:folHlink>
    </a:clrScheme>
    <a:fontScheme name="Depth">
      <a:majorFont>
        <a:latin typeface="Corbel" panose="020B0503020204020204"/>
        <a:ea typeface=""/>
        <a:cs typeface=""/>
        <a:font script="Jpan" typeface="メイリオ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メイリオ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Depth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epth" id="{7BEAFC2A-325C-49C4-AC08-2B765DA903F9}" vid="{1735E755-43E6-43AA-ABA2-C989ECC79AF5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302" dT="2024-10-10T08:38:23.79" personId="{00000000-0000-0000-0000-000000000000}" id="{A672D3F7-50AF-4F74-A994-6571617DECF0}">
    <text>Rceipt pending. Txn confirmed from alert, not statement</text>
  </threadedComment>
  <threadedComment ref="K891" dT="2025-07-07T13:10:29.39" personId="{00000000-0000-0000-0000-000000000000}" id="{72F568DE-70B5-4D42-B5E3-7B0E64239270}">
    <text>Receipt pending</text>
  </threadedComment>
  <threadedComment ref="E1032" dT="2025-07-31T11:23:33.83" personId="{00000000-0000-0000-0000-000000000000}" id="{3D32881F-04C3-4AC1-80D1-97856C7B5474}">
    <text>Confirm Dev Fee date from Madam Chair
Receipts for all payments outstanding</text>
  </threadedComment>
  <threadedComment ref="M1167" dT="2024-09-07T19:23:46.51" personId="{00000000-0000-0000-0000-000000000000}" id="{65C27E54-A345-4BFB-A490-FD3BFB886851}">
    <text>Receipt pending</text>
  </threadedComment>
  <threadedComment ref="M1167" dT="2024-09-07T20:02:00.57" personId="{00000000-0000-0000-0000-000000000000}" id="{BBBD4F5F-2959-459D-8ED7-936F56ECAD1F}" parentId="{65C27E54-A345-4BFB-A490-FD3BFB886851}">
    <text>Review with exco</text>
  </threadedComment>
  <threadedComment ref="O1360" dT="2024-09-27T17:02:09.05" personId="{00000000-0000-0000-0000-000000000000}" id="{DCA7C861-DC97-4077-B4DD-DC142D50663D}">
    <text>Note Mama Shola payment of N20k via Pos</text>
  </threadedComment>
  <threadedComment ref="O1360" dT="2025-02-02T16:41:33.50" personId="{00000000-0000-0000-0000-000000000000}" id="{DAEA4714-1D2F-43D7-96A9-5C5668EC7B5D}" parentId="{DCA7C861-DC97-4077-B4DD-DC142D50663D}">
    <text>Done</text>
  </threadedComment>
  <threadedComment ref="M1965" dT="2024-09-28T08:08:05.12" personId="{00000000-0000-0000-0000-000000000000}" id="{D3EB5473-C6F2-46AE-8FF4-EC59F0B584C0}">
    <text>Reconcilling - confirm if receipt was issued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0D10F-0904-42FB-9174-DEE5D8BA0625}">
  <sheetPr>
    <tabColor rgb="FF7030A0"/>
    <pageSetUpPr fitToPage="1"/>
  </sheetPr>
  <dimension ref="A1:XFD2147"/>
  <sheetViews>
    <sheetView tabSelected="1" topLeftCell="A1176" zoomScale="34" zoomScaleNormal="34" workbookViewId="0">
      <selection activeCell="T1170" sqref="T1170"/>
    </sheetView>
  </sheetViews>
  <sheetFormatPr defaultRowHeight="39" outlineLevelRow="1" x14ac:dyDescent="0.6"/>
  <cols>
    <col min="1" max="1" width="22.375" customWidth="1"/>
    <col min="2" max="2" width="1.375" hidden="1" customWidth="1"/>
    <col min="3" max="3" width="62.25" style="116" customWidth="1"/>
    <col min="4" max="4" width="4" style="117" customWidth="1"/>
    <col min="5" max="5" width="17.75" style="57" customWidth="1"/>
    <col min="6" max="6" width="21.75" style="118" customWidth="1"/>
    <col min="7" max="7" width="31.375" style="57" customWidth="1"/>
    <col min="8" max="8" width="33" style="57" customWidth="1"/>
    <col min="9" max="9" width="38.125" style="57" customWidth="1"/>
    <col min="10" max="10" width="35.125" style="57" customWidth="1"/>
    <col min="11" max="12" width="30" style="57" customWidth="1"/>
    <col min="13" max="13" width="37.5" style="57" customWidth="1"/>
    <col min="14" max="14" width="31.125" style="57" customWidth="1"/>
    <col min="15" max="15" width="31.375" style="57" customWidth="1"/>
    <col min="16" max="16" width="30" style="57" customWidth="1"/>
    <col min="17" max="17" width="27.375" style="57" customWidth="1"/>
    <col min="18" max="18" width="29.5" style="57" customWidth="1"/>
    <col min="19" max="19" width="38.5" style="119" customWidth="1"/>
    <col min="20" max="20" width="37.375" style="119" bestFit="1" customWidth="1"/>
    <col min="38" max="38" width="47.5" customWidth="1"/>
    <col min="39" max="39" width="31.125" style="102" bestFit="1" customWidth="1"/>
    <col min="40" max="40" width="34.5" bestFit="1" customWidth="1"/>
    <col min="41" max="41" width="42.5" bestFit="1" customWidth="1"/>
    <col min="42" max="42" width="62.25" bestFit="1" customWidth="1"/>
  </cols>
  <sheetData>
    <row r="1" spans="1:20" ht="87.7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91.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3"/>
      <c r="O2" s="3"/>
      <c r="P2" s="3"/>
      <c r="Q2" s="3"/>
      <c r="R2" s="3"/>
      <c r="S2" s="3"/>
      <c r="T2" s="3"/>
    </row>
    <row r="3" spans="1:20" ht="44.25" customHeight="1" x14ac:dyDescent="0.45">
      <c r="A3" s="4" t="s">
        <v>2</v>
      </c>
      <c r="B3" s="4"/>
      <c r="C3" s="4"/>
      <c r="D3" s="4"/>
      <c r="E3" s="4"/>
      <c r="F3" s="4"/>
      <c r="G3" s="4"/>
      <c r="H3" s="4"/>
      <c r="I3" s="4"/>
      <c r="J3" s="5" t="s">
        <v>3</v>
      </c>
      <c r="K3" s="5"/>
      <c r="L3" s="5"/>
      <c r="M3" s="5"/>
      <c r="N3" s="5"/>
      <c r="O3" s="5"/>
      <c r="P3" s="5"/>
      <c r="Q3" s="6"/>
      <c r="R3" s="7"/>
      <c r="S3" s="8"/>
      <c r="T3" s="8"/>
    </row>
    <row r="4" spans="1:20" ht="51.75" customHeight="1" x14ac:dyDescent="0.45">
      <c r="A4" s="4"/>
      <c r="B4" s="4"/>
      <c r="C4" s="4"/>
      <c r="D4" s="4"/>
      <c r="E4" s="4"/>
      <c r="F4" s="4"/>
      <c r="G4" s="4"/>
      <c r="H4" s="4"/>
      <c r="I4" s="4"/>
      <c r="J4" s="5"/>
      <c r="K4" s="5"/>
      <c r="L4" s="5"/>
      <c r="M4" s="5"/>
      <c r="N4" s="5"/>
      <c r="O4" s="5"/>
      <c r="P4" s="5"/>
      <c r="Q4" s="7"/>
      <c r="R4" s="7"/>
      <c r="S4" s="8"/>
      <c r="T4" s="8"/>
    </row>
    <row r="5" spans="1:20" ht="51.75" customHeight="1" x14ac:dyDescent="0.45">
      <c r="A5" s="9"/>
      <c r="B5" s="9"/>
      <c r="C5" s="9"/>
      <c r="D5" s="9"/>
      <c r="E5" s="9"/>
      <c r="F5" s="9"/>
      <c r="G5" s="9"/>
      <c r="H5" s="9"/>
      <c r="I5" s="9"/>
      <c r="J5" s="10"/>
      <c r="K5" s="10"/>
      <c r="L5" s="10"/>
      <c r="M5" s="10"/>
      <c r="N5" s="10"/>
      <c r="O5" s="10"/>
      <c r="P5" s="10"/>
      <c r="Q5" s="7"/>
      <c r="R5" s="7"/>
      <c r="S5" s="8"/>
      <c r="T5" s="8"/>
    </row>
    <row r="6" spans="1:20" ht="36.75" customHeight="1" x14ac:dyDescent="0.25">
      <c r="A6" s="11" t="s">
        <v>4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2" t="s">
        <v>5</v>
      </c>
      <c r="T6" s="12"/>
    </row>
    <row r="14" spans="1:20" ht="36.75" x14ac:dyDescent="0.45">
      <c r="A14" s="13"/>
      <c r="B14" s="14"/>
      <c r="C14" s="14"/>
      <c r="D14" s="15"/>
      <c r="E14" s="14"/>
      <c r="F14" s="16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8"/>
      <c r="T14" s="8"/>
    </row>
    <row r="15" spans="1:20" ht="65.25" customHeight="1" x14ac:dyDescent="0.25">
      <c r="A15" s="17" t="s">
        <v>6</v>
      </c>
      <c r="B15" s="17" t="s">
        <v>7</v>
      </c>
      <c r="C15" s="18" t="s">
        <v>8</v>
      </c>
      <c r="D15" s="19" t="s">
        <v>9</v>
      </c>
      <c r="E15" s="20" t="s">
        <v>10</v>
      </c>
      <c r="F15" s="21" t="s">
        <v>11</v>
      </c>
      <c r="G15" s="22" t="s">
        <v>12</v>
      </c>
      <c r="H15" s="22" t="s">
        <v>13</v>
      </c>
      <c r="I15" s="22" t="s">
        <v>14</v>
      </c>
      <c r="J15" s="22" t="s">
        <v>15</v>
      </c>
      <c r="K15" s="22" t="s">
        <v>16</v>
      </c>
      <c r="L15" s="22" t="s">
        <v>17</v>
      </c>
      <c r="M15" s="22" t="s">
        <v>18</v>
      </c>
      <c r="N15" s="22" t="s">
        <v>19</v>
      </c>
      <c r="O15" s="22" t="s">
        <v>20</v>
      </c>
      <c r="P15" s="22" t="s">
        <v>21</v>
      </c>
      <c r="Q15" s="22" t="s">
        <v>22</v>
      </c>
      <c r="R15" s="22" t="s">
        <v>23</v>
      </c>
      <c r="S15" s="23" t="s">
        <v>24</v>
      </c>
      <c r="T15" s="23" t="s">
        <v>25</v>
      </c>
    </row>
    <row r="16" spans="1:20" ht="46.5" customHeight="1" x14ac:dyDescent="0.25">
      <c r="A16" s="24">
        <v>2</v>
      </c>
      <c r="B16" s="17"/>
      <c r="C16" s="25" t="s">
        <v>26</v>
      </c>
      <c r="D16" s="19"/>
      <c r="E16" s="26">
        <v>2025</v>
      </c>
      <c r="F16" s="27">
        <v>10000</v>
      </c>
      <c r="G16" s="22"/>
      <c r="H16" s="22"/>
      <c r="I16" s="22"/>
      <c r="J16" s="22">
        <v>100000</v>
      </c>
      <c r="K16" s="22"/>
      <c r="L16" s="22"/>
      <c r="M16" s="22"/>
      <c r="N16" s="22"/>
      <c r="O16" s="22"/>
      <c r="P16" s="22"/>
      <c r="Q16" s="22"/>
      <c r="R16" s="22"/>
      <c r="S16" s="28">
        <f t="shared" ref="S16:S26" si="0">SUM(G16:R16)</f>
        <v>100000</v>
      </c>
      <c r="T16" s="29">
        <f>SUM(F16*IF(E16=_current_year,_current_month,12)-(S16))</f>
        <v>20000</v>
      </c>
    </row>
    <row r="17" spans="1:20" ht="46.5" customHeight="1" x14ac:dyDescent="0.25">
      <c r="A17" s="24"/>
      <c r="B17" s="17"/>
      <c r="C17" s="25"/>
      <c r="D17" s="19"/>
      <c r="E17" s="30">
        <v>2024</v>
      </c>
      <c r="F17" s="27">
        <v>5000</v>
      </c>
      <c r="G17" s="22"/>
      <c r="H17" s="22"/>
      <c r="I17" s="22"/>
      <c r="J17" s="22"/>
      <c r="K17" s="22"/>
      <c r="L17" s="22"/>
      <c r="M17" s="22"/>
      <c r="N17" s="22"/>
      <c r="O17" s="22">
        <v>100000</v>
      </c>
      <c r="P17" s="22"/>
      <c r="Q17" s="22"/>
      <c r="R17" s="22"/>
      <c r="S17" s="31">
        <f t="shared" si="0"/>
        <v>100000</v>
      </c>
      <c r="T17" s="22">
        <f>SUM(F17*IF(E17=_current_year,_current_month,12)-(S17))</f>
        <v>-40000</v>
      </c>
    </row>
    <row r="18" spans="1:20" ht="46.5" customHeight="1" x14ac:dyDescent="0.25">
      <c r="A18" s="24"/>
      <c r="B18" s="17"/>
      <c r="C18" s="32" t="s">
        <v>27</v>
      </c>
      <c r="D18" s="19"/>
      <c r="E18" s="30">
        <v>2023</v>
      </c>
      <c r="F18" s="27">
        <v>5000</v>
      </c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31">
        <f t="shared" si="0"/>
        <v>0</v>
      </c>
      <c r="T18" s="22">
        <f>SUM(F18*12)-(S18)</f>
        <v>60000</v>
      </c>
    </row>
    <row r="19" spans="1:20" ht="46.5" customHeight="1" x14ac:dyDescent="0.4">
      <c r="A19" s="24"/>
      <c r="B19" s="33" t="s">
        <v>28</v>
      </c>
      <c r="C19" s="34"/>
      <c r="D19" s="35"/>
      <c r="E19" s="30">
        <v>2022</v>
      </c>
      <c r="F19" s="27">
        <v>5000</v>
      </c>
      <c r="G19" s="36"/>
      <c r="H19" s="36"/>
      <c r="I19" s="36"/>
      <c r="J19" s="36"/>
      <c r="K19" s="36"/>
      <c r="L19" s="36"/>
      <c r="M19" s="36"/>
      <c r="N19" s="36"/>
      <c r="O19" s="36"/>
      <c r="P19" s="36">
        <v>70000</v>
      </c>
      <c r="Q19" s="36"/>
      <c r="R19" s="36"/>
      <c r="S19" s="37">
        <f t="shared" si="0"/>
        <v>70000</v>
      </c>
      <c r="T19" s="37">
        <f t="shared" ref="T19:T26" si="1">SUM(60000-S19)</f>
        <v>-10000</v>
      </c>
    </row>
    <row r="20" spans="1:20" ht="46.5" customHeight="1" x14ac:dyDescent="0.4">
      <c r="A20" s="24"/>
      <c r="B20" s="33" t="s">
        <v>28</v>
      </c>
      <c r="C20" s="38" t="s">
        <v>29</v>
      </c>
      <c r="D20" s="38"/>
      <c r="E20" s="30">
        <v>2021</v>
      </c>
      <c r="F20" s="27">
        <v>5000</v>
      </c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>
        <v>60000</v>
      </c>
      <c r="R20" s="36">
        <v>50000</v>
      </c>
      <c r="S20" s="37">
        <f t="shared" si="0"/>
        <v>110000</v>
      </c>
      <c r="T20" s="37">
        <f t="shared" si="1"/>
        <v>-50000</v>
      </c>
    </row>
    <row r="21" spans="1:20" ht="46.5" customHeight="1" x14ac:dyDescent="0.4">
      <c r="A21" s="24"/>
      <c r="B21" s="39" t="s">
        <v>28</v>
      </c>
      <c r="C21" s="38"/>
      <c r="D21" s="38"/>
      <c r="E21" s="30">
        <v>2020</v>
      </c>
      <c r="F21" s="27">
        <v>5000</v>
      </c>
      <c r="G21" s="36"/>
      <c r="H21" s="36"/>
      <c r="I21" s="40">
        <v>60000</v>
      </c>
      <c r="J21" s="36"/>
      <c r="K21" s="36"/>
      <c r="L21" s="36"/>
      <c r="M21" s="36"/>
      <c r="N21" s="36"/>
      <c r="O21" s="36"/>
      <c r="P21" s="36"/>
      <c r="Q21" s="36"/>
      <c r="R21" s="36"/>
      <c r="S21" s="37">
        <f t="shared" si="0"/>
        <v>60000</v>
      </c>
      <c r="T21" s="37">
        <f t="shared" si="1"/>
        <v>0</v>
      </c>
    </row>
    <row r="22" spans="1:20" ht="46.5" customHeight="1" x14ac:dyDescent="0.4">
      <c r="A22" s="24"/>
      <c r="B22" s="39"/>
      <c r="C22" s="38"/>
      <c r="D22" s="38"/>
      <c r="E22" s="30">
        <v>2019</v>
      </c>
      <c r="F22" s="27">
        <v>5000</v>
      </c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7">
        <f t="shared" si="0"/>
        <v>0</v>
      </c>
      <c r="T22" s="37">
        <f t="shared" si="1"/>
        <v>60000</v>
      </c>
    </row>
    <row r="23" spans="1:20" ht="46.5" customHeight="1" x14ac:dyDescent="0.4">
      <c r="A23" s="41" t="s">
        <v>30</v>
      </c>
      <c r="B23" s="39"/>
      <c r="C23" s="38"/>
      <c r="D23" s="38"/>
      <c r="E23" s="30">
        <v>2018</v>
      </c>
      <c r="F23" s="27">
        <v>5000</v>
      </c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7">
        <f t="shared" si="0"/>
        <v>0</v>
      </c>
      <c r="T23" s="37">
        <f t="shared" si="1"/>
        <v>60000</v>
      </c>
    </row>
    <row r="24" spans="1:20" ht="46.5" customHeight="1" x14ac:dyDescent="0.4">
      <c r="A24" s="41"/>
      <c r="B24" s="39"/>
      <c r="C24" s="38"/>
      <c r="D24" s="38"/>
      <c r="E24" s="30">
        <v>2017</v>
      </c>
      <c r="F24" s="42">
        <v>5000</v>
      </c>
      <c r="G24" s="36">
        <v>5000</v>
      </c>
      <c r="H24" s="36">
        <v>5000</v>
      </c>
      <c r="I24" s="36">
        <v>5000</v>
      </c>
      <c r="J24" s="36">
        <v>5000</v>
      </c>
      <c r="K24" s="36">
        <v>5000</v>
      </c>
      <c r="L24" s="36">
        <v>5000</v>
      </c>
      <c r="M24" s="40"/>
      <c r="N24" s="40"/>
      <c r="O24" s="40"/>
      <c r="P24" s="40"/>
      <c r="Q24" s="40"/>
      <c r="R24" s="40"/>
      <c r="S24" s="37">
        <f t="shared" si="0"/>
        <v>30000</v>
      </c>
      <c r="T24" s="37">
        <f t="shared" si="1"/>
        <v>30000</v>
      </c>
    </row>
    <row r="25" spans="1:20" ht="46.5" customHeight="1" x14ac:dyDescent="0.4">
      <c r="A25" s="43"/>
      <c r="B25" s="39"/>
      <c r="C25" s="38"/>
      <c r="D25" s="38"/>
      <c r="E25" s="30">
        <v>2016</v>
      </c>
      <c r="F25" s="42">
        <v>5000</v>
      </c>
      <c r="G25" s="44">
        <v>5000</v>
      </c>
      <c r="H25" s="44">
        <v>5000</v>
      </c>
      <c r="I25" s="44">
        <v>5000</v>
      </c>
      <c r="J25" s="44">
        <v>5000</v>
      </c>
      <c r="K25" s="44">
        <v>5000</v>
      </c>
      <c r="L25" s="44">
        <v>5000</v>
      </c>
      <c r="M25" s="44">
        <v>5000</v>
      </c>
      <c r="N25" s="44">
        <v>5000</v>
      </c>
      <c r="O25" s="44">
        <v>5000</v>
      </c>
      <c r="P25" s="44">
        <v>5000</v>
      </c>
      <c r="Q25" s="44">
        <v>5000</v>
      </c>
      <c r="R25" s="44">
        <v>5000</v>
      </c>
      <c r="S25" s="37">
        <f t="shared" si="0"/>
        <v>60000</v>
      </c>
      <c r="T25" s="37">
        <f t="shared" si="1"/>
        <v>0</v>
      </c>
    </row>
    <row r="26" spans="1:20" ht="46.5" customHeight="1" x14ac:dyDescent="0.4">
      <c r="A26" s="45"/>
      <c r="B26" s="39"/>
      <c r="C26" s="38"/>
      <c r="D26" s="38"/>
      <c r="E26" s="30">
        <v>2015</v>
      </c>
      <c r="F26" s="42">
        <v>5000</v>
      </c>
      <c r="G26" s="44">
        <v>5000</v>
      </c>
      <c r="H26" s="44">
        <v>5000</v>
      </c>
      <c r="I26" s="44">
        <v>5000</v>
      </c>
      <c r="J26" s="44">
        <v>5000</v>
      </c>
      <c r="K26" s="44">
        <v>5000</v>
      </c>
      <c r="L26" s="44">
        <v>5000</v>
      </c>
      <c r="M26" s="44">
        <v>5000</v>
      </c>
      <c r="N26" s="44">
        <v>5000</v>
      </c>
      <c r="O26" s="44">
        <v>5000</v>
      </c>
      <c r="P26" s="44">
        <v>5000</v>
      </c>
      <c r="Q26" s="44">
        <v>5000</v>
      </c>
      <c r="R26" s="44">
        <v>5000</v>
      </c>
      <c r="S26" s="37">
        <f t="shared" si="0"/>
        <v>60000</v>
      </c>
      <c r="T26" s="37">
        <f t="shared" si="1"/>
        <v>0</v>
      </c>
    </row>
    <row r="27" spans="1:20" ht="46.5" customHeight="1" thickBot="1" x14ac:dyDescent="0.45">
      <c r="A27" s="46"/>
      <c r="B27" s="14"/>
      <c r="C27" s="47"/>
      <c r="D27" s="48"/>
      <c r="E27" s="49"/>
      <c r="F27" s="50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2">
        <f>SUM(S16:S26)</f>
        <v>590000</v>
      </c>
      <c r="T27" s="53">
        <f>SUM(T16:T26)</f>
        <v>130000</v>
      </c>
    </row>
    <row r="28" spans="1:20" ht="36.75" x14ac:dyDescent="0.45">
      <c r="A28" s="46"/>
      <c r="B28" s="14"/>
      <c r="C28" s="47"/>
      <c r="D28" s="48"/>
      <c r="E28" s="14"/>
      <c r="F28" s="16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8"/>
      <c r="T28" s="8"/>
    </row>
    <row r="29" spans="1:20" ht="71.25" customHeight="1" x14ac:dyDescent="0.25">
      <c r="A29" s="54" t="s">
        <v>31</v>
      </c>
      <c r="B29" s="55" t="s">
        <v>7</v>
      </c>
      <c r="C29" s="30" t="s">
        <v>32</v>
      </c>
      <c r="D29" s="30" t="s">
        <v>33</v>
      </c>
      <c r="E29" s="30" t="s">
        <v>34</v>
      </c>
      <c r="F29" s="21" t="s">
        <v>11</v>
      </c>
      <c r="G29" s="40" t="s">
        <v>12</v>
      </c>
      <c r="H29" s="40" t="s">
        <v>13</v>
      </c>
      <c r="I29" s="40" t="s">
        <v>14</v>
      </c>
      <c r="J29" s="40" t="s">
        <v>15</v>
      </c>
      <c r="K29" s="40" t="s">
        <v>16</v>
      </c>
      <c r="L29" s="40" t="s">
        <v>17</v>
      </c>
      <c r="M29" s="40" t="s">
        <v>18</v>
      </c>
      <c r="N29" s="40" t="s">
        <v>19</v>
      </c>
      <c r="O29" s="40" t="s">
        <v>20</v>
      </c>
      <c r="P29" s="40" t="s">
        <v>21</v>
      </c>
      <c r="Q29" s="40" t="s">
        <v>22</v>
      </c>
      <c r="R29" s="40" t="s">
        <v>23</v>
      </c>
      <c r="S29" s="23" t="s">
        <v>24</v>
      </c>
      <c r="T29" s="23" t="s">
        <v>25</v>
      </c>
    </row>
    <row r="30" spans="1:20" ht="45" customHeight="1" x14ac:dyDescent="0.25">
      <c r="A30" s="24">
        <v>4</v>
      </c>
      <c r="B30" s="17"/>
      <c r="C30" s="56" t="s">
        <v>35</v>
      </c>
      <c r="D30" s="19"/>
      <c r="E30" s="26">
        <v>2025</v>
      </c>
      <c r="F30" s="27">
        <v>10000</v>
      </c>
      <c r="G30" s="22"/>
      <c r="H30" s="22">
        <v>17500</v>
      </c>
      <c r="I30" s="22"/>
      <c r="J30" s="22"/>
      <c r="K30" s="22"/>
      <c r="L30" s="22"/>
      <c r="M30" s="22">
        <v>60000</v>
      </c>
      <c r="N30" s="22"/>
      <c r="O30" s="22">
        <v>30000</v>
      </c>
      <c r="P30" s="22"/>
      <c r="Q30" s="22"/>
      <c r="R30" s="22"/>
      <c r="S30" s="28">
        <f t="shared" ref="S30:S36" si="2">SUM(G30:R30)</f>
        <v>107500</v>
      </c>
      <c r="T30" s="29">
        <f>SUM(F30*IF(E30=_current_year,_current_month,12)-(S30))</f>
        <v>12500</v>
      </c>
    </row>
    <row r="31" spans="1:20" ht="45" customHeight="1" x14ac:dyDescent="0.6">
      <c r="A31" s="24"/>
      <c r="B31" s="17"/>
      <c r="C31" s="56"/>
      <c r="D31" s="19"/>
      <c r="E31" s="30">
        <v>2024</v>
      </c>
      <c r="F31" s="27">
        <v>5000</v>
      </c>
      <c r="G31" s="22">
        <v>30000</v>
      </c>
      <c r="H31" s="22"/>
      <c r="I31" s="22"/>
      <c r="J31" s="22">
        <v>30000</v>
      </c>
      <c r="K31" s="22"/>
      <c r="L31" s="22"/>
      <c r="M31" s="22"/>
      <c r="N31" s="22"/>
      <c r="O31" s="22">
        <v>42500</v>
      </c>
      <c r="P31" s="22"/>
      <c r="Q31" s="22"/>
      <c r="S31" s="31">
        <f t="shared" si="2"/>
        <v>102500</v>
      </c>
      <c r="T31" s="22">
        <f>SUM(F31*IF(E31=_current_year,_current_month,12)-(S31))</f>
        <v>-42500</v>
      </c>
    </row>
    <row r="32" spans="1:20" ht="45" customHeight="1" x14ac:dyDescent="0.25">
      <c r="A32" s="24"/>
      <c r="B32" s="17"/>
      <c r="C32" s="56"/>
      <c r="D32" s="19"/>
      <c r="E32" s="30">
        <v>2023</v>
      </c>
      <c r="F32" s="27">
        <v>5000</v>
      </c>
      <c r="G32" s="22"/>
      <c r="H32" s="22">
        <v>100000</v>
      </c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31">
        <f t="shared" si="2"/>
        <v>100000</v>
      </c>
      <c r="T32" s="22">
        <f>SUM(F32*12)-(S32)</f>
        <v>-40000</v>
      </c>
    </row>
    <row r="33" spans="1:20" ht="45" customHeight="1" x14ac:dyDescent="0.4">
      <c r="A33" s="24"/>
      <c r="B33" s="33" t="s">
        <v>28</v>
      </c>
      <c r="C33" s="56"/>
      <c r="D33" s="35"/>
      <c r="E33" s="30">
        <v>2022</v>
      </c>
      <c r="F33" s="27">
        <v>5000</v>
      </c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7">
        <f t="shared" si="2"/>
        <v>0</v>
      </c>
      <c r="T33" s="37">
        <f>SUM(60000-S33)</f>
        <v>60000</v>
      </c>
    </row>
    <row r="34" spans="1:20" ht="45" customHeight="1" x14ac:dyDescent="0.4">
      <c r="A34" s="24"/>
      <c r="B34" s="33" t="s">
        <v>28</v>
      </c>
      <c r="C34" s="38" t="s">
        <v>29</v>
      </c>
      <c r="D34" s="35"/>
      <c r="E34" s="30">
        <v>2021</v>
      </c>
      <c r="F34" s="27">
        <v>5000</v>
      </c>
      <c r="G34" s="36"/>
      <c r="H34" s="36"/>
      <c r="I34" s="36"/>
      <c r="J34" s="36"/>
      <c r="K34" s="36"/>
      <c r="L34" s="36"/>
      <c r="M34" s="36">
        <v>100000</v>
      </c>
      <c r="N34" s="36"/>
      <c r="O34" s="36"/>
      <c r="P34" s="36"/>
      <c r="Q34" s="36"/>
      <c r="R34" s="36"/>
      <c r="S34" s="37">
        <f t="shared" si="2"/>
        <v>100000</v>
      </c>
      <c r="T34" s="22">
        <f>SUM(60000-S34)</f>
        <v>-40000</v>
      </c>
    </row>
    <row r="35" spans="1:20" ht="45" customHeight="1" x14ac:dyDescent="0.4">
      <c r="A35" s="24"/>
      <c r="B35" s="14" t="s">
        <v>28</v>
      </c>
      <c r="C35" s="38"/>
      <c r="D35" s="58" t="s">
        <v>36</v>
      </c>
      <c r="E35" s="30">
        <v>2020</v>
      </c>
      <c r="F35" s="27">
        <v>5000</v>
      </c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7">
        <f t="shared" si="2"/>
        <v>0</v>
      </c>
      <c r="T35" s="37">
        <f>SUM(60000-S35)</f>
        <v>60000</v>
      </c>
    </row>
    <row r="36" spans="1:20" ht="45" customHeight="1" x14ac:dyDescent="0.4">
      <c r="A36" s="41" t="s">
        <v>30</v>
      </c>
      <c r="B36" s="14"/>
      <c r="C36" s="38"/>
      <c r="D36" s="59"/>
      <c r="E36" s="30">
        <v>2019</v>
      </c>
      <c r="F36" s="27">
        <v>5000</v>
      </c>
      <c r="G36" s="60">
        <v>5000</v>
      </c>
      <c r="H36" s="36">
        <v>5000</v>
      </c>
      <c r="I36" s="36">
        <v>5000</v>
      </c>
      <c r="J36" s="36">
        <v>5000</v>
      </c>
      <c r="K36" s="36">
        <v>5000</v>
      </c>
      <c r="L36" s="36">
        <v>5000</v>
      </c>
      <c r="M36" s="36">
        <v>5000</v>
      </c>
      <c r="N36" s="36">
        <v>5000</v>
      </c>
      <c r="O36" s="36">
        <v>5000</v>
      </c>
      <c r="P36" s="36">
        <v>5000</v>
      </c>
      <c r="Q36" s="36">
        <v>5000</v>
      </c>
      <c r="R36" s="36">
        <v>5000</v>
      </c>
      <c r="S36" s="37">
        <f t="shared" si="2"/>
        <v>60000</v>
      </c>
      <c r="T36" s="37">
        <f>SUM(60000-S36)</f>
        <v>0</v>
      </c>
    </row>
    <row r="37" spans="1:20" ht="45" customHeight="1" x14ac:dyDescent="0.4">
      <c r="A37" s="41"/>
      <c r="B37" s="14"/>
      <c r="C37" s="38"/>
      <c r="D37" s="61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 ht="45" customHeight="1" thickBot="1" x14ac:dyDescent="0.45">
      <c r="A38" s="46"/>
      <c r="B38" s="14"/>
      <c r="C38" s="62"/>
      <c r="D38" s="63"/>
      <c r="E38" s="49"/>
      <c r="F38" s="50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37">
        <f>SUM(S30:S37)</f>
        <v>470000</v>
      </c>
      <c r="T38" s="53">
        <f>SUM(T30:T37)</f>
        <v>10000</v>
      </c>
    </row>
    <row r="39" spans="1:20" ht="36.75" x14ac:dyDescent="0.45">
      <c r="A39" s="46"/>
      <c r="B39" s="14"/>
      <c r="C39" s="47"/>
      <c r="D39" s="48"/>
      <c r="E39" s="49"/>
      <c r="F39" s="16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8"/>
      <c r="T39" s="8"/>
    </row>
    <row r="40" spans="1:20" ht="71.25" customHeight="1" x14ac:dyDescent="0.25">
      <c r="A40" s="55" t="s">
        <v>31</v>
      </c>
      <c r="B40" s="55" t="s">
        <v>7</v>
      </c>
      <c r="C40" s="30" t="s">
        <v>32</v>
      </c>
      <c r="D40" s="30" t="s">
        <v>33</v>
      </c>
      <c r="E40" s="30" t="s">
        <v>34</v>
      </c>
      <c r="F40" s="21" t="s">
        <v>11</v>
      </c>
      <c r="G40" s="40" t="s">
        <v>12</v>
      </c>
      <c r="H40" s="40" t="s">
        <v>13</v>
      </c>
      <c r="I40" s="40" t="s">
        <v>14</v>
      </c>
      <c r="J40" s="40" t="s">
        <v>15</v>
      </c>
      <c r="K40" s="40" t="s">
        <v>16</v>
      </c>
      <c r="L40" s="40" t="s">
        <v>17</v>
      </c>
      <c r="M40" s="40" t="s">
        <v>18</v>
      </c>
      <c r="N40" s="40" t="s">
        <v>19</v>
      </c>
      <c r="O40" s="40" t="s">
        <v>20</v>
      </c>
      <c r="P40" s="40" t="s">
        <v>21</v>
      </c>
      <c r="Q40" s="40" t="s">
        <v>22</v>
      </c>
      <c r="R40" s="40" t="s">
        <v>23</v>
      </c>
      <c r="S40" s="23" t="s">
        <v>24</v>
      </c>
      <c r="T40" s="23" t="s">
        <v>25</v>
      </c>
    </row>
    <row r="41" spans="1:20" ht="45" customHeight="1" x14ac:dyDescent="0.25">
      <c r="A41" s="24">
        <v>6</v>
      </c>
      <c r="B41" s="17"/>
      <c r="C41" s="56" t="s">
        <v>37</v>
      </c>
      <c r="D41" s="19"/>
      <c r="E41" s="26">
        <v>2025</v>
      </c>
      <c r="F41" s="27">
        <v>10000</v>
      </c>
      <c r="G41" s="22"/>
      <c r="H41" s="22"/>
      <c r="I41" s="22"/>
      <c r="J41" s="22"/>
      <c r="K41" s="22"/>
      <c r="L41" s="22"/>
      <c r="M41" s="22">
        <v>120000</v>
      </c>
      <c r="N41" s="22"/>
      <c r="O41" s="22"/>
      <c r="P41" s="22"/>
      <c r="Q41" s="22"/>
      <c r="R41" s="22"/>
      <c r="S41" s="64">
        <f t="shared" ref="S41:S47" si="3">SUM(G41:R41)</f>
        <v>120000</v>
      </c>
      <c r="T41" s="29">
        <f>SUM(F41*IF(E41=_current_year,_current_month,12)-(S41))</f>
        <v>0</v>
      </c>
    </row>
    <row r="42" spans="1:20" ht="45" customHeight="1" x14ac:dyDescent="0.25">
      <c r="A42" s="24"/>
      <c r="B42" s="17"/>
      <c r="C42" s="56"/>
      <c r="D42" s="19"/>
      <c r="E42" s="30">
        <v>2024</v>
      </c>
      <c r="F42" s="27">
        <v>5000</v>
      </c>
      <c r="G42" s="22"/>
      <c r="H42" s="22"/>
      <c r="I42" s="22">
        <v>60000</v>
      </c>
      <c r="J42" s="22"/>
      <c r="K42" s="22"/>
      <c r="L42" s="22"/>
      <c r="M42" s="22"/>
      <c r="N42" s="22"/>
      <c r="O42" s="22"/>
      <c r="P42" s="22"/>
      <c r="Q42" s="22"/>
      <c r="R42" s="22">
        <v>60000</v>
      </c>
      <c r="S42" s="37">
        <f>SUM(G42:R42)</f>
        <v>120000</v>
      </c>
      <c r="T42" s="22">
        <f>SUM(F42*IF(E42=_current_year,_current_month,12)-(S42))</f>
        <v>-60000</v>
      </c>
    </row>
    <row r="43" spans="1:20" ht="45" customHeight="1" x14ac:dyDescent="0.25">
      <c r="A43" s="24"/>
      <c r="B43" s="17"/>
      <c r="C43" s="65"/>
      <c r="D43" s="19"/>
      <c r="E43" s="30">
        <v>2023</v>
      </c>
      <c r="F43" s="27">
        <v>5000</v>
      </c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37">
        <f t="shared" si="3"/>
        <v>0</v>
      </c>
      <c r="T43" s="22">
        <f>SUM(F43*12)-(S43)</f>
        <v>60000</v>
      </c>
    </row>
    <row r="44" spans="1:20" ht="45" customHeight="1" x14ac:dyDescent="0.4">
      <c r="A44" s="24"/>
      <c r="B44" s="33" t="s">
        <v>28</v>
      </c>
      <c r="C44" s="34"/>
      <c r="D44" s="35"/>
      <c r="E44" s="30">
        <v>2022</v>
      </c>
      <c r="F44" s="27">
        <v>5000</v>
      </c>
      <c r="G44" s="36"/>
      <c r="H44" s="36">
        <v>60000</v>
      </c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7">
        <f t="shared" si="3"/>
        <v>60000</v>
      </c>
      <c r="T44" s="37">
        <f>SUM(60000-S44)</f>
        <v>0</v>
      </c>
    </row>
    <row r="45" spans="1:20" ht="45" customHeight="1" x14ac:dyDescent="0.4">
      <c r="A45" s="24"/>
      <c r="B45" s="33" t="s">
        <v>28</v>
      </c>
      <c r="C45" s="38" t="s">
        <v>29</v>
      </c>
      <c r="D45" s="35"/>
      <c r="E45" s="30">
        <v>2021</v>
      </c>
      <c r="F45" s="27">
        <v>5000</v>
      </c>
      <c r="G45" s="36">
        <v>60000</v>
      </c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7">
        <f t="shared" si="3"/>
        <v>60000</v>
      </c>
      <c r="T45" s="37">
        <f>SUM(60000-S45)</f>
        <v>0</v>
      </c>
    </row>
    <row r="46" spans="1:20" ht="45" customHeight="1" x14ac:dyDescent="0.4">
      <c r="A46" s="41" t="s">
        <v>30</v>
      </c>
      <c r="B46" s="14" t="s">
        <v>28</v>
      </c>
      <c r="C46" s="38"/>
      <c r="D46" s="58" t="s">
        <v>38</v>
      </c>
      <c r="E46" s="30">
        <v>2020</v>
      </c>
      <c r="F46" s="27">
        <v>5000</v>
      </c>
      <c r="G46" s="36"/>
      <c r="H46" s="36"/>
      <c r="I46" s="36"/>
      <c r="J46" s="36"/>
      <c r="K46" s="36"/>
      <c r="L46" s="36">
        <v>60000</v>
      </c>
      <c r="M46" s="36"/>
      <c r="N46" s="36"/>
      <c r="O46" s="36"/>
      <c r="P46" s="36"/>
      <c r="Q46" s="36"/>
      <c r="R46" s="36"/>
      <c r="S46" s="37">
        <f t="shared" si="3"/>
        <v>60000</v>
      </c>
      <c r="T46" s="37">
        <f>SUM(60000-S46)</f>
        <v>0</v>
      </c>
    </row>
    <row r="47" spans="1:20" ht="45" customHeight="1" x14ac:dyDescent="0.4">
      <c r="A47" s="41"/>
      <c r="B47" s="14"/>
      <c r="C47" s="38"/>
      <c r="D47" s="59"/>
      <c r="E47" s="30">
        <v>2019</v>
      </c>
      <c r="F47" s="27">
        <v>5000</v>
      </c>
      <c r="G47" s="36"/>
      <c r="H47" s="36"/>
      <c r="I47" s="36"/>
      <c r="J47" s="36"/>
      <c r="K47" s="36">
        <v>60000</v>
      </c>
      <c r="L47" s="36"/>
      <c r="M47" s="36"/>
      <c r="N47" s="36"/>
      <c r="O47" s="36"/>
      <c r="P47" s="36"/>
      <c r="Q47" s="36"/>
      <c r="R47" s="36"/>
      <c r="S47" s="37">
        <f t="shared" si="3"/>
        <v>60000</v>
      </c>
      <c r="T47" s="37">
        <f>SUM(60000-S47)</f>
        <v>0</v>
      </c>
    </row>
    <row r="48" spans="1:20" ht="45" customHeight="1" thickBot="1" x14ac:dyDescent="0.45">
      <c r="A48" s="46"/>
      <c r="B48" s="14"/>
      <c r="C48" s="47"/>
      <c r="D48" s="48"/>
      <c r="E48" s="49"/>
      <c r="F48" s="50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2">
        <f>SUM(S41:S47)</f>
        <v>480000</v>
      </c>
      <c r="T48" s="53">
        <f>SUM(T41:T47)</f>
        <v>0</v>
      </c>
    </row>
    <row r="49" spans="1:20" ht="36.75" x14ac:dyDescent="0.45">
      <c r="A49" s="46"/>
      <c r="B49" s="14"/>
      <c r="C49" s="47"/>
      <c r="D49" s="48"/>
      <c r="E49" s="14"/>
      <c r="F49" s="16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8"/>
      <c r="T49" s="8"/>
    </row>
    <row r="50" spans="1:20" ht="36.75" x14ac:dyDescent="0.45">
      <c r="A50" s="46"/>
      <c r="B50" s="14"/>
      <c r="C50" s="47"/>
      <c r="D50" s="48"/>
      <c r="E50" s="14"/>
      <c r="F50" s="16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8"/>
      <c r="T50" s="8"/>
    </row>
    <row r="51" spans="1:20" ht="36.75" x14ac:dyDescent="0.45">
      <c r="A51" s="46"/>
      <c r="B51" s="14"/>
      <c r="C51" s="47"/>
      <c r="D51" s="48"/>
      <c r="E51" s="14"/>
      <c r="F51" s="16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8"/>
      <c r="T51" s="8"/>
    </row>
    <row r="52" spans="1:20" ht="36.75" x14ac:dyDescent="0.45">
      <c r="A52" s="46"/>
      <c r="B52" s="14"/>
      <c r="C52" s="47"/>
      <c r="D52" s="48"/>
      <c r="E52" s="14"/>
      <c r="F52" s="16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8"/>
      <c r="T52" s="8"/>
    </row>
    <row r="53" spans="1:20" ht="36.75" x14ac:dyDescent="0.45">
      <c r="A53" s="46"/>
      <c r="B53" s="14"/>
      <c r="C53" s="47"/>
      <c r="D53" s="48"/>
      <c r="E53" s="14"/>
      <c r="F53" s="16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8"/>
      <c r="T53" s="8"/>
    </row>
    <row r="54" spans="1:20" ht="36.75" x14ac:dyDescent="0.45">
      <c r="A54" s="46"/>
      <c r="B54" s="14"/>
      <c r="C54" s="47"/>
      <c r="D54" s="48"/>
      <c r="E54" s="14"/>
      <c r="F54" s="16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8"/>
      <c r="T54" s="8"/>
    </row>
    <row r="55" spans="1:20" ht="36.75" x14ac:dyDescent="0.45">
      <c r="A55" s="46"/>
      <c r="B55" s="14"/>
      <c r="C55" s="47"/>
      <c r="D55" s="48"/>
      <c r="E55" s="14"/>
      <c r="F55" s="16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8"/>
      <c r="T55" s="8"/>
    </row>
    <row r="56" spans="1:20" ht="36.75" x14ac:dyDescent="0.45">
      <c r="A56" s="46"/>
      <c r="B56" s="14"/>
      <c r="C56" s="47"/>
      <c r="D56" s="48"/>
      <c r="E56" s="14"/>
      <c r="F56" s="16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8"/>
      <c r="T56" s="8"/>
    </row>
    <row r="57" spans="1:20" ht="36.75" x14ac:dyDescent="0.45">
      <c r="A57" s="46"/>
      <c r="B57" s="14"/>
      <c r="C57" s="47"/>
      <c r="D57" s="48"/>
      <c r="E57" s="14"/>
      <c r="F57" s="16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8"/>
      <c r="T57" s="8"/>
    </row>
    <row r="58" spans="1:20" ht="36.75" x14ac:dyDescent="0.45">
      <c r="A58" s="46"/>
      <c r="B58" s="14"/>
      <c r="C58" s="47"/>
      <c r="D58" s="48"/>
      <c r="E58" s="14"/>
      <c r="F58" s="16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8"/>
      <c r="T58" s="8"/>
    </row>
    <row r="59" spans="1:20" ht="59.25" customHeight="1" x14ac:dyDescent="0.25">
      <c r="A59" s="55" t="s">
        <v>31</v>
      </c>
      <c r="B59" s="55" t="s">
        <v>7</v>
      </c>
      <c r="C59" s="30" t="s">
        <v>32</v>
      </c>
      <c r="D59" s="30" t="s">
        <v>33</v>
      </c>
      <c r="E59" s="30" t="s">
        <v>34</v>
      </c>
      <c r="F59" s="21" t="s">
        <v>11</v>
      </c>
      <c r="G59" s="40" t="s">
        <v>12</v>
      </c>
      <c r="H59" s="40" t="s">
        <v>13</v>
      </c>
      <c r="I59" s="40" t="s">
        <v>14</v>
      </c>
      <c r="J59" s="40" t="s">
        <v>15</v>
      </c>
      <c r="K59" s="40" t="s">
        <v>16</v>
      </c>
      <c r="L59" s="40" t="s">
        <v>17</v>
      </c>
      <c r="M59" s="40" t="s">
        <v>18</v>
      </c>
      <c r="N59" s="40" t="s">
        <v>19</v>
      </c>
      <c r="O59" s="40" t="s">
        <v>20</v>
      </c>
      <c r="P59" s="40" t="s">
        <v>21</v>
      </c>
      <c r="Q59" s="40" t="s">
        <v>22</v>
      </c>
      <c r="R59" s="40" t="s">
        <v>23</v>
      </c>
      <c r="S59" s="23" t="s">
        <v>24</v>
      </c>
      <c r="T59" s="23" t="s">
        <v>25</v>
      </c>
    </row>
    <row r="60" spans="1:20" ht="45" customHeight="1" x14ac:dyDescent="0.25">
      <c r="A60" s="24">
        <v>8</v>
      </c>
      <c r="B60" s="17"/>
      <c r="C60" s="25" t="s">
        <v>39</v>
      </c>
      <c r="D60" s="19"/>
      <c r="E60" s="26">
        <v>2025</v>
      </c>
      <c r="F60" s="27">
        <v>10000</v>
      </c>
      <c r="G60" s="22"/>
      <c r="H60" s="22"/>
      <c r="I60" s="22">
        <v>60000</v>
      </c>
      <c r="J60" s="22"/>
      <c r="K60" s="22"/>
      <c r="L60" s="22">
        <v>60000</v>
      </c>
      <c r="M60" s="22"/>
      <c r="N60" s="22"/>
      <c r="O60" s="22"/>
      <c r="P60" s="22"/>
      <c r="Q60" s="22"/>
      <c r="R60" s="22"/>
      <c r="S60" s="64">
        <f>SUM(G60:R60)</f>
        <v>120000</v>
      </c>
      <c r="T60" s="29">
        <f>SUM(F60*IF(E60=_current_year,_current_month,12)-(S60))</f>
        <v>0</v>
      </c>
    </row>
    <row r="61" spans="1:20" ht="45" customHeight="1" x14ac:dyDescent="0.25">
      <c r="A61" s="24"/>
      <c r="B61" s="17"/>
      <c r="C61" s="25"/>
      <c r="D61" s="19"/>
      <c r="E61" s="30">
        <v>2024</v>
      </c>
      <c r="F61" s="27">
        <v>5000</v>
      </c>
      <c r="G61" s="22"/>
      <c r="H61" s="22"/>
      <c r="I61" s="22">
        <v>60000</v>
      </c>
      <c r="J61" s="22"/>
      <c r="K61" s="22"/>
      <c r="L61" s="22"/>
      <c r="M61" s="22"/>
      <c r="N61" s="22"/>
      <c r="O61" s="22"/>
      <c r="P61" s="22"/>
      <c r="Q61" s="22"/>
      <c r="R61" s="22"/>
      <c r="S61" s="37">
        <f>SUM(G61:R61)</f>
        <v>60000</v>
      </c>
      <c r="T61" s="22">
        <f>SUM(F61*IF(E61=_current_year,_current_month,12)-(S61))</f>
        <v>0</v>
      </c>
    </row>
    <row r="62" spans="1:20" ht="45" customHeight="1" x14ac:dyDescent="0.25">
      <c r="A62" s="24"/>
      <c r="B62" s="17"/>
      <c r="C62" s="65" t="s">
        <v>40</v>
      </c>
      <c r="D62" s="19"/>
      <c r="E62" s="30">
        <v>2023</v>
      </c>
      <c r="F62" s="27">
        <v>5000</v>
      </c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37">
        <f>SUM(G62:R62)</f>
        <v>0</v>
      </c>
      <c r="T62" s="22">
        <f>SUM(F62*12)-(S62)</f>
        <v>60000</v>
      </c>
    </row>
    <row r="63" spans="1:20" ht="45" customHeight="1" x14ac:dyDescent="0.4">
      <c r="A63" s="24"/>
      <c r="B63" s="33" t="s">
        <v>28</v>
      </c>
      <c r="C63" s="34"/>
      <c r="D63" s="35"/>
      <c r="E63" s="30">
        <v>2022</v>
      </c>
      <c r="F63" s="27">
        <v>5000</v>
      </c>
      <c r="G63" s="66" t="s">
        <v>41</v>
      </c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7"/>
      <c r="T63" s="67"/>
    </row>
    <row r="64" spans="1:20" ht="45" customHeight="1" x14ac:dyDescent="0.4">
      <c r="A64" s="24"/>
      <c r="B64" s="33"/>
      <c r="C64" s="38" t="s">
        <v>29</v>
      </c>
      <c r="D64" s="38"/>
      <c r="E64" s="30">
        <v>2021</v>
      </c>
      <c r="F64" s="27">
        <v>5000</v>
      </c>
      <c r="G64" s="66" t="s">
        <v>42</v>
      </c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7"/>
      <c r="T64" s="67"/>
    </row>
    <row r="65" spans="1:20" ht="45" customHeight="1" x14ac:dyDescent="0.4">
      <c r="A65" s="24"/>
      <c r="B65" s="33"/>
      <c r="C65" s="38"/>
      <c r="D65" s="38"/>
      <c r="E65" s="30">
        <v>2020</v>
      </c>
      <c r="F65" s="27">
        <v>5000</v>
      </c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37">
        <f t="shared" ref="S65:S70" si="4">SUM(G65:R65)</f>
        <v>0</v>
      </c>
      <c r="T65" s="22">
        <f t="shared" ref="T65:T70" si="5">SUM(F65*12)-(S65)</f>
        <v>60000</v>
      </c>
    </row>
    <row r="66" spans="1:20" ht="45" customHeight="1" x14ac:dyDescent="0.4">
      <c r="A66" s="24"/>
      <c r="B66" s="33" t="s">
        <v>28</v>
      </c>
      <c r="C66" s="38"/>
      <c r="D66" s="38"/>
      <c r="E66" s="30">
        <v>2019</v>
      </c>
      <c r="F66" s="27">
        <v>5000</v>
      </c>
      <c r="G66" s="22"/>
      <c r="H66" s="22"/>
      <c r="I66" s="22"/>
      <c r="J66" s="22"/>
      <c r="K66" s="22"/>
      <c r="L66" s="22">
        <v>150000</v>
      </c>
      <c r="M66" s="22"/>
      <c r="N66" s="22"/>
      <c r="O66" s="22"/>
      <c r="P66" s="22"/>
      <c r="Q66" s="22"/>
      <c r="R66" s="22"/>
      <c r="S66" s="37">
        <f t="shared" si="4"/>
        <v>150000</v>
      </c>
      <c r="T66" s="22">
        <f t="shared" si="5"/>
        <v>-90000</v>
      </c>
    </row>
    <row r="67" spans="1:20" ht="45" customHeight="1" x14ac:dyDescent="0.4">
      <c r="A67" s="24"/>
      <c r="B67" s="14" t="s">
        <v>28</v>
      </c>
      <c r="C67" s="38"/>
      <c r="D67" s="38"/>
      <c r="E67" s="30">
        <v>2018</v>
      </c>
      <c r="F67" s="27">
        <v>5000</v>
      </c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37">
        <f t="shared" si="4"/>
        <v>0</v>
      </c>
      <c r="T67" s="22">
        <f t="shared" si="5"/>
        <v>60000</v>
      </c>
    </row>
    <row r="68" spans="1:20" ht="45" customHeight="1" x14ac:dyDescent="0.4">
      <c r="A68" s="24"/>
      <c r="B68" s="14"/>
      <c r="C68" s="38"/>
      <c r="D68" s="38"/>
      <c r="E68" s="30">
        <v>2017</v>
      </c>
      <c r="F68" s="27">
        <v>5000</v>
      </c>
      <c r="G68" s="22"/>
      <c r="H68" s="22"/>
      <c r="I68" s="22"/>
      <c r="J68" s="22"/>
      <c r="K68" s="22"/>
      <c r="L68" s="22"/>
      <c r="M68" s="22"/>
      <c r="N68" s="22"/>
      <c r="O68" s="22"/>
      <c r="P68" s="22">
        <v>35000</v>
      </c>
      <c r="Q68" s="22"/>
      <c r="R68" s="22"/>
      <c r="S68" s="37">
        <f t="shared" si="4"/>
        <v>35000</v>
      </c>
      <c r="T68" s="22">
        <f t="shared" si="5"/>
        <v>25000</v>
      </c>
    </row>
    <row r="69" spans="1:20" ht="45" customHeight="1" x14ac:dyDescent="0.4">
      <c r="A69" s="41" t="s">
        <v>30</v>
      </c>
      <c r="B69" s="14"/>
      <c r="C69" s="38"/>
      <c r="D69" s="38"/>
      <c r="E69" s="30">
        <v>2016</v>
      </c>
      <c r="F69" s="27">
        <v>5000</v>
      </c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37">
        <f t="shared" si="4"/>
        <v>0</v>
      </c>
      <c r="T69" s="22">
        <f t="shared" si="5"/>
        <v>60000</v>
      </c>
    </row>
    <row r="70" spans="1:20" ht="45" customHeight="1" x14ac:dyDescent="0.4">
      <c r="A70" s="41"/>
      <c r="B70" s="14"/>
      <c r="C70" s="38"/>
      <c r="D70" s="38"/>
      <c r="E70" s="30">
        <v>2015</v>
      </c>
      <c r="F70" s="27">
        <v>5000</v>
      </c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37">
        <f t="shared" si="4"/>
        <v>0</v>
      </c>
      <c r="T70" s="22">
        <f t="shared" si="5"/>
        <v>60000</v>
      </c>
    </row>
    <row r="71" spans="1:20" ht="45" customHeight="1" thickBot="1" x14ac:dyDescent="0.45">
      <c r="A71" s="14"/>
      <c r="B71" s="14"/>
      <c r="C71" s="14"/>
      <c r="D71" s="68"/>
      <c r="E71" s="69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2">
        <f>SUM(S60:S70)</f>
        <v>365000</v>
      </c>
      <c r="T71" s="53">
        <f>SUM(T60:T70)</f>
        <v>235000</v>
      </c>
    </row>
    <row r="73" spans="1:20" ht="65.099999999999994" customHeight="1" x14ac:dyDescent="0.25">
      <c r="A73" s="55" t="s">
        <v>31</v>
      </c>
      <c r="B73" s="55" t="s">
        <v>7</v>
      </c>
      <c r="C73" s="30" t="s">
        <v>32</v>
      </c>
      <c r="D73" s="30" t="s">
        <v>33</v>
      </c>
      <c r="E73" s="30" t="s">
        <v>34</v>
      </c>
      <c r="F73" s="21" t="s">
        <v>11</v>
      </c>
      <c r="G73" s="40" t="s">
        <v>12</v>
      </c>
      <c r="H73" s="40" t="s">
        <v>13</v>
      </c>
      <c r="I73" s="40" t="s">
        <v>14</v>
      </c>
      <c r="J73" s="40" t="s">
        <v>15</v>
      </c>
      <c r="K73" s="40" t="s">
        <v>16</v>
      </c>
      <c r="L73" s="40" t="s">
        <v>17</v>
      </c>
      <c r="M73" s="40" t="s">
        <v>18</v>
      </c>
      <c r="N73" s="40" t="s">
        <v>19</v>
      </c>
      <c r="O73" s="40" t="s">
        <v>20</v>
      </c>
      <c r="P73" s="40" t="s">
        <v>21</v>
      </c>
      <c r="Q73" s="40" t="s">
        <v>22</v>
      </c>
      <c r="R73" s="40" t="s">
        <v>23</v>
      </c>
      <c r="S73" s="23" t="s">
        <v>24</v>
      </c>
      <c r="T73" s="23" t="s">
        <v>25</v>
      </c>
    </row>
    <row r="74" spans="1:20" ht="45" customHeight="1" x14ac:dyDescent="0.25">
      <c r="A74" s="70" t="s">
        <v>43</v>
      </c>
      <c r="B74" s="17"/>
      <c r="C74" s="56" t="s">
        <v>44</v>
      </c>
      <c r="D74" s="19"/>
      <c r="E74" s="26">
        <v>2025</v>
      </c>
      <c r="F74" s="27">
        <v>10000</v>
      </c>
      <c r="G74" s="22"/>
      <c r="H74" s="22"/>
      <c r="I74" s="22"/>
      <c r="J74" s="22"/>
      <c r="K74" s="22"/>
      <c r="L74" s="22"/>
      <c r="M74" s="22">
        <v>120000</v>
      </c>
      <c r="N74" s="22"/>
      <c r="O74" s="22"/>
      <c r="P74" s="22"/>
      <c r="Q74" s="22"/>
      <c r="R74" s="22"/>
      <c r="S74" s="64">
        <f>SUM(G74:R74)</f>
        <v>120000</v>
      </c>
      <c r="T74" s="29">
        <f>SUM(F74*IF(E74=_current_year,_current_month,12)-(S74))</f>
        <v>0</v>
      </c>
    </row>
    <row r="75" spans="1:20" ht="45" customHeight="1" x14ac:dyDescent="0.25">
      <c r="A75" s="71"/>
      <c r="B75" s="17"/>
      <c r="C75" s="56"/>
      <c r="D75" s="19"/>
      <c r="E75" s="30">
        <v>2024</v>
      </c>
      <c r="F75" s="27">
        <v>5000</v>
      </c>
      <c r="G75" s="72" t="s">
        <v>45</v>
      </c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60">
        <v>80000</v>
      </c>
      <c r="S75" s="37">
        <f>SUM(G75:R75)</f>
        <v>80000</v>
      </c>
      <c r="T75" s="22">
        <f>SUM(F75*IF(E75=_current_year,_current_month,1)-(S75))</f>
        <v>-75000</v>
      </c>
    </row>
    <row r="76" spans="1:20" ht="45" customHeight="1" x14ac:dyDescent="0.25">
      <c r="A76" s="71"/>
      <c r="B76" s="17"/>
      <c r="C76" s="56"/>
      <c r="D76" s="19"/>
      <c r="E76" s="73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5"/>
    </row>
    <row r="77" spans="1:20" ht="59.25" customHeight="1" x14ac:dyDescent="0.4">
      <c r="A77" s="71"/>
      <c r="B77" s="33" t="s">
        <v>28</v>
      </c>
      <c r="C77" s="76" t="s">
        <v>46</v>
      </c>
      <c r="D77" s="35"/>
      <c r="E77" s="77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9"/>
    </row>
    <row r="78" spans="1:20" ht="59.25" customHeight="1" x14ac:dyDescent="0.4">
      <c r="A78" s="41" t="s">
        <v>30</v>
      </c>
      <c r="B78" s="33" t="s">
        <v>28</v>
      </c>
      <c r="C78" s="80" t="s">
        <v>47</v>
      </c>
      <c r="D78" s="81"/>
      <c r="E78" s="77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9"/>
    </row>
    <row r="79" spans="1:20" ht="36.75" customHeight="1" x14ac:dyDescent="0.4">
      <c r="A79" s="41"/>
      <c r="B79" s="14" t="s">
        <v>28</v>
      </c>
      <c r="C79" s="82"/>
      <c r="D79" s="81"/>
      <c r="E79" s="77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9"/>
    </row>
    <row r="80" spans="1:20" ht="37.5" thickBot="1" x14ac:dyDescent="0.45">
      <c r="A80" s="13"/>
      <c r="B80" s="14"/>
      <c r="C80" s="82"/>
      <c r="D80" s="15"/>
      <c r="E80" s="49"/>
      <c r="F80" s="50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2">
        <f>SUM(S77:S79)</f>
        <v>0</v>
      </c>
      <c r="T80" s="53">
        <f>SUM(T74:T75)</f>
        <v>-75000</v>
      </c>
    </row>
    <row r="81" spans="1:20" ht="36.75" x14ac:dyDescent="0.45">
      <c r="A81" s="13"/>
      <c r="B81" s="14"/>
      <c r="C81" s="14"/>
      <c r="D81" s="15"/>
      <c r="E81" s="14"/>
      <c r="F81" s="16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8"/>
      <c r="T81" s="8"/>
    </row>
    <row r="82" spans="1:20" ht="82.5" customHeight="1" x14ac:dyDescent="0.25">
      <c r="A82" s="54" t="s">
        <v>31</v>
      </c>
      <c r="B82" s="83" t="s">
        <v>7</v>
      </c>
      <c r="C82" s="30" t="s">
        <v>32</v>
      </c>
      <c r="D82" s="30" t="s">
        <v>33</v>
      </c>
      <c r="E82" s="30" t="s">
        <v>34</v>
      </c>
      <c r="F82" s="21" t="s">
        <v>11</v>
      </c>
      <c r="G82" s="40" t="s">
        <v>12</v>
      </c>
      <c r="H82" s="40" t="s">
        <v>13</v>
      </c>
      <c r="I82" s="40" t="s">
        <v>14</v>
      </c>
      <c r="J82" s="40" t="s">
        <v>15</v>
      </c>
      <c r="K82" s="40" t="s">
        <v>16</v>
      </c>
      <c r="L82" s="40" t="s">
        <v>17</v>
      </c>
      <c r="M82" s="40" t="s">
        <v>18</v>
      </c>
      <c r="N82" s="40" t="s">
        <v>19</v>
      </c>
      <c r="O82" s="40" t="s">
        <v>20</v>
      </c>
      <c r="P82" s="40" t="s">
        <v>21</v>
      </c>
      <c r="Q82" s="40" t="s">
        <v>22</v>
      </c>
      <c r="R82" s="40" t="s">
        <v>23</v>
      </c>
      <c r="S82" s="23" t="s">
        <v>24</v>
      </c>
      <c r="T82" s="23" t="s">
        <v>25</v>
      </c>
    </row>
    <row r="83" spans="1:20" ht="45" customHeight="1" x14ac:dyDescent="0.25">
      <c r="A83" s="70" t="s">
        <v>48</v>
      </c>
      <c r="B83" s="17"/>
      <c r="C83" s="56" t="s">
        <v>49</v>
      </c>
      <c r="D83" s="84" t="s">
        <v>50</v>
      </c>
      <c r="E83" s="26">
        <v>2025</v>
      </c>
      <c r="F83" s="27">
        <v>10000</v>
      </c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64">
        <f t="shared" ref="S83:S89" si="6">SUM(G83:R83)</f>
        <v>0</v>
      </c>
      <c r="T83" s="29">
        <f>SUM(F83*IF(E83=_current_year,_current_month,12)-(S83))</f>
        <v>120000</v>
      </c>
    </row>
    <row r="84" spans="1:20" ht="45" customHeight="1" x14ac:dyDescent="0.25">
      <c r="A84" s="70"/>
      <c r="B84" s="17"/>
      <c r="C84" s="56"/>
      <c r="D84" s="84" t="s">
        <v>50</v>
      </c>
      <c r="E84" s="30">
        <v>2024</v>
      </c>
      <c r="F84" s="27">
        <v>5000</v>
      </c>
      <c r="G84" s="22"/>
      <c r="H84" s="22"/>
      <c r="I84" s="22"/>
      <c r="J84" s="22">
        <v>40000</v>
      </c>
      <c r="K84" s="22"/>
      <c r="L84" s="22"/>
      <c r="M84" s="22"/>
      <c r="N84" s="22"/>
      <c r="O84" s="22"/>
      <c r="P84" s="22"/>
      <c r="Q84" s="22"/>
      <c r="R84" s="22"/>
      <c r="S84" s="37">
        <f t="shared" si="6"/>
        <v>40000</v>
      </c>
      <c r="T84" s="22">
        <f>SUM(F84*IF(E84=_current_year,_current_month,12)-(S84))</f>
        <v>20000</v>
      </c>
    </row>
    <row r="85" spans="1:20" ht="45" customHeight="1" x14ac:dyDescent="0.25">
      <c r="A85" s="70"/>
      <c r="B85" s="17"/>
      <c r="C85" s="56"/>
      <c r="D85" s="84"/>
      <c r="E85" s="30">
        <v>2023</v>
      </c>
      <c r="F85" s="27">
        <v>5000</v>
      </c>
      <c r="G85" s="22">
        <v>15000</v>
      </c>
      <c r="H85" s="22">
        <v>15000</v>
      </c>
      <c r="I85" s="22"/>
      <c r="J85" s="22"/>
      <c r="K85" s="22">
        <v>30000</v>
      </c>
      <c r="L85" s="22"/>
      <c r="M85" s="22"/>
      <c r="N85" s="22"/>
      <c r="O85" s="22"/>
      <c r="P85" s="22"/>
      <c r="Q85" s="22"/>
      <c r="R85" s="22">
        <v>60000</v>
      </c>
      <c r="S85" s="37">
        <f t="shared" si="6"/>
        <v>120000</v>
      </c>
      <c r="T85" s="22">
        <f>SUM(F85*12)-(S85)</f>
        <v>-60000</v>
      </c>
    </row>
    <row r="86" spans="1:20" ht="52.5" customHeight="1" x14ac:dyDescent="0.4">
      <c r="A86" s="70"/>
      <c r="B86" s="33" t="s">
        <v>28</v>
      </c>
      <c r="C86" s="85" t="s">
        <v>51</v>
      </c>
      <c r="D86" s="35"/>
      <c r="E86" s="30">
        <v>2022</v>
      </c>
      <c r="F86" s="27">
        <v>5000</v>
      </c>
      <c r="G86" s="36"/>
      <c r="H86" s="36"/>
      <c r="I86" s="36"/>
      <c r="J86" s="36"/>
      <c r="K86" s="36"/>
      <c r="L86" s="36">
        <v>30000</v>
      </c>
      <c r="M86" s="36"/>
      <c r="N86" s="36"/>
      <c r="O86" s="36"/>
      <c r="P86" s="36"/>
      <c r="Q86" s="36"/>
      <c r="R86" s="36"/>
      <c r="S86" s="37">
        <f t="shared" si="6"/>
        <v>30000</v>
      </c>
      <c r="T86" s="37">
        <f>SUM(60000-S86)</f>
        <v>30000</v>
      </c>
    </row>
    <row r="87" spans="1:20" ht="52.5" customHeight="1" x14ac:dyDescent="0.4">
      <c r="A87" s="41" t="s">
        <v>30</v>
      </c>
      <c r="B87" s="33" t="s">
        <v>28</v>
      </c>
      <c r="C87" s="38" t="s">
        <v>52</v>
      </c>
      <c r="D87" s="38"/>
      <c r="E87" s="30">
        <v>2021</v>
      </c>
      <c r="F87" s="27">
        <v>5000</v>
      </c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7">
        <f t="shared" si="6"/>
        <v>0</v>
      </c>
      <c r="T87" s="37">
        <f>SUM(60000-S87)</f>
        <v>60000</v>
      </c>
    </row>
    <row r="88" spans="1:20" ht="36.75" customHeight="1" x14ac:dyDescent="0.4">
      <c r="A88" s="41"/>
      <c r="B88" s="14" t="s">
        <v>28</v>
      </c>
      <c r="C88" s="38"/>
      <c r="D88" s="38"/>
      <c r="E88" s="30">
        <v>2020</v>
      </c>
      <c r="F88" s="27">
        <v>5000</v>
      </c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>
        <v>60000</v>
      </c>
      <c r="S88" s="37">
        <f t="shared" si="6"/>
        <v>60000</v>
      </c>
      <c r="T88" s="37">
        <f>SUM(60000-S88)</f>
        <v>0</v>
      </c>
    </row>
    <row r="89" spans="1:20" ht="36.75" customHeight="1" x14ac:dyDescent="0.4">
      <c r="A89" s="86"/>
      <c r="B89" s="14"/>
      <c r="C89" s="38"/>
      <c r="D89" s="38"/>
      <c r="E89" s="30">
        <v>2019</v>
      </c>
      <c r="F89" s="27">
        <v>5000</v>
      </c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7">
        <f t="shared" si="6"/>
        <v>0</v>
      </c>
      <c r="T89" s="37">
        <f>SUM(60000-S89)</f>
        <v>60000</v>
      </c>
    </row>
    <row r="90" spans="1:20" ht="37.5" thickBot="1" x14ac:dyDescent="0.45">
      <c r="A90" s="13"/>
      <c r="B90" s="14"/>
      <c r="C90" s="14"/>
      <c r="D90" s="15"/>
      <c r="E90" s="49"/>
      <c r="F90" s="50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2">
        <f>SUM(S83:S89)</f>
        <v>250000</v>
      </c>
      <c r="T90" s="87">
        <f>SUM(T83:T89)</f>
        <v>230000</v>
      </c>
    </row>
    <row r="91" spans="1:20" ht="36.75" x14ac:dyDescent="0.45">
      <c r="A91" s="13"/>
      <c r="B91" s="14"/>
      <c r="C91" s="14"/>
      <c r="D91" s="15"/>
      <c r="E91" s="14"/>
      <c r="F91" s="16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8"/>
      <c r="T91" s="8"/>
    </row>
    <row r="92" spans="1:20" ht="80.25" customHeight="1" x14ac:dyDescent="0.25">
      <c r="A92" s="54" t="s">
        <v>31</v>
      </c>
      <c r="B92" s="55" t="s">
        <v>7</v>
      </c>
      <c r="C92" s="30" t="s">
        <v>32</v>
      </c>
      <c r="D92" s="30" t="s">
        <v>33</v>
      </c>
      <c r="E92" s="30" t="s">
        <v>34</v>
      </c>
      <c r="F92" s="21" t="s">
        <v>11</v>
      </c>
      <c r="G92" s="40" t="s">
        <v>12</v>
      </c>
      <c r="H92" s="40" t="s">
        <v>13</v>
      </c>
      <c r="I92" s="40" t="s">
        <v>14</v>
      </c>
      <c r="J92" s="40" t="s">
        <v>15</v>
      </c>
      <c r="K92" s="40" t="s">
        <v>16</v>
      </c>
      <c r="L92" s="40" t="s">
        <v>17</v>
      </c>
      <c r="M92" s="40" t="s">
        <v>18</v>
      </c>
      <c r="N92" s="40" t="s">
        <v>19</v>
      </c>
      <c r="O92" s="40" t="s">
        <v>20</v>
      </c>
      <c r="P92" s="40" t="s">
        <v>21</v>
      </c>
      <c r="Q92" s="40" t="s">
        <v>22</v>
      </c>
      <c r="R92" s="40" t="s">
        <v>23</v>
      </c>
      <c r="S92" s="23" t="s">
        <v>24</v>
      </c>
      <c r="T92" s="23" t="s">
        <v>25</v>
      </c>
    </row>
    <row r="93" spans="1:20" ht="51.75" customHeight="1" x14ac:dyDescent="0.25">
      <c r="A93" s="70" t="s">
        <v>53</v>
      </c>
      <c r="B93" s="17"/>
      <c r="C93" s="88" t="s">
        <v>54</v>
      </c>
      <c r="D93" s="19"/>
      <c r="E93" s="26">
        <v>2025</v>
      </c>
      <c r="F93" s="27">
        <v>10000</v>
      </c>
      <c r="G93" s="22"/>
      <c r="H93" s="22"/>
      <c r="I93" s="22"/>
      <c r="J93" s="22"/>
      <c r="K93" s="22">
        <v>90000</v>
      </c>
      <c r="L93" s="22"/>
      <c r="M93" s="22"/>
      <c r="N93" s="22"/>
      <c r="O93" s="22"/>
      <c r="P93" s="22"/>
      <c r="Q93" s="22"/>
      <c r="R93" s="22"/>
      <c r="S93" s="64">
        <f>SUM(G93:R93)</f>
        <v>90000</v>
      </c>
      <c r="T93" s="29">
        <f>SUM(F93*IF(E93=_current_year,_current_month,12)-(S93))</f>
        <v>30000</v>
      </c>
    </row>
    <row r="94" spans="1:20" ht="51.75" customHeight="1" x14ac:dyDescent="0.25">
      <c r="A94" s="71"/>
      <c r="B94" s="17"/>
      <c r="C94" s="56"/>
      <c r="D94" s="19"/>
      <c r="E94" s="30">
        <v>2024</v>
      </c>
      <c r="F94" s="27">
        <v>5000</v>
      </c>
      <c r="G94" s="22"/>
      <c r="H94" s="22"/>
      <c r="I94" s="22"/>
      <c r="J94" s="22">
        <v>100000</v>
      </c>
      <c r="K94" s="22"/>
      <c r="L94" s="22"/>
      <c r="M94" s="22"/>
      <c r="N94" s="22"/>
      <c r="O94" s="22"/>
      <c r="P94" s="22"/>
      <c r="Q94" s="22"/>
      <c r="R94" s="22"/>
      <c r="S94" s="37">
        <f>SUM(G94:R94)</f>
        <v>100000</v>
      </c>
      <c r="T94" s="22">
        <f>SUM(F94*IF(E94=_current_year,_current_month,12)-(S94))</f>
        <v>-40000</v>
      </c>
    </row>
    <row r="95" spans="1:20" ht="51.75" customHeight="1" x14ac:dyDescent="0.25">
      <c r="A95" s="71"/>
      <c r="B95" s="17"/>
      <c r="C95" s="56"/>
      <c r="D95" s="19"/>
      <c r="E95" s="30">
        <v>2023</v>
      </c>
      <c r="F95" s="27">
        <v>5000</v>
      </c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37">
        <f>SUM(G95:R95)</f>
        <v>0</v>
      </c>
      <c r="T95" s="22">
        <f>SUM(F95*12)-(S95)</f>
        <v>60000</v>
      </c>
    </row>
    <row r="96" spans="1:20" ht="51.75" customHeight="1" x14ac:dyDescent="0.4">
      <c r="A96" s="86"/>
      <c r="B96" s="33" t="s">
        <v>28</v>
      </c>
      <c r="C96" s="89" t="s">
        <v>55</v>
      </c>
      <c r="D96" s="35"/>
      <c r="E96" s="30">
        <v>2022</v>
      </c>
      <c r="F96" s="27">
        <v>5000</v>
      </c>
      <c r="G96" s="36"/>
      <c r="H96" s="36">
        <v>100000</v>
      </c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7">
        <f>SUM(G96:R96)</f>
        <v>100000</v>
      </c>
      <c r="T96" s="22">
        <f>SUM(60000-S96)</f>
        <v>-40000</v>
      </c>
    </row>
    <row r="97" spans="1:20 16384:16384" ht="51.75" customHeight="1" x14ac:dyDescent="0.4">
      <c r="A97" s="41" t="s">
        <v>30</v>
      </c>
      <c r="B97" s="33" t="s">
        <v>28</v>
      </c>
      <c r="C97" s="38" t="s">
        <v>56</v>
      </c>
      <c r="D97" s="38"/>
      <c r="E97" s="30">
        <v>2021</v>
      </c>
      <c r="F97" s="27">
        <v>5000</v>
      </c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7">
        <f>SUM(G97:R97)</f>
        <v>0</v>
      </c>
      <c r="T97" s="22">
        <f>SUM(60000-S97)</f>
        <v>60000</v>
      </c>
    </row>
    <row r="98" spans="1:20 16384:16384" ht="36.75" customHeight="1" x14ac:dyDescent="0.4">
      <c r="A98" s="41"/>
      <c r="B98" s="14" t="s">
        <v>28</v>
      </c>
      <c r="C98" s="38"/>
      <c r="D98" s="38"/>
      <c r="E98" s="90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2"/>
      <c r="XFD98" s="91"/>
    </row>
    <row r="99" spans="1:20 16384:16384" ht="37.5" thickBot="1" x14ac:dyDescent="0.45">
      <c r="A99" s="13"/>
      <c r="B99" s="14"/>
      <c r="C99" s="14"/>
      <c r="D99" s="15"/>
      <c r="E99" s="49"/>
      <c r="F99" s="50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2">
        <f>SUM(S93:S98)</f>
        <v>290000</v>
      </c>
      <c r="T99" s="87">
        <f>SUM(T93:T98)</f>
        <v>70000</v>
      </c>
    </row>
    <row r="100" spans="1:20 16384:16384" ht="36.75" x14ac:dyDescent="0.45">
      <c r="A100" s="13"/>
      <c r="B100" s="14"/>
      <c r="C100" s="14"/>
      <c r="D100" s="15"/>
      <c r="E100" s="14"/>
      <c r="F100" s="16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8"/>
      <c r="T100" s="8"/>
    </row>
    <row r="103" spans="1:20 16384:16384" ht="67.5" customHeight="1" x14ac:dyDescent="0.25">
      <c r="A103" s="54" t="s">
        <v>31</v>
      </c>
      <c r="B103" s="55" t="s">
        <v>7</v>
      </c>
      <c r="C103" s="30" t="s">
        <v>32</v>
      </c>
      <c r="D103" s="30" t="s">
        <v>33</v>
      </c>
      <c r="E103" s="30" t="s">
        <v>34</v>
      </c>
      <c r="F103" s="21" t="s">
        <v>11</v>
      </c>
      <c r="G103" s="40" t="s">
        <v>12</v>
      </c>
      <c r="H103" s="40" t="s">
        <v>13</v>
      </c>
      <c r="I103" s="40" t="s">
        <v>14</v>
      </c>
      <c r="J103" s="40" t="s">
        <v>15</v>
      </c>
      <c r="K103" s="40" t="s">
        <v>16</v>
      </c>
      <c r="L103" s="40" t="s">
        <v>17</v>
      </c>
      <c r="M103" s="40" t="s">
        <v>18</v>
      </c>
      <c r="N103" s="40" t="s">
        <v>19</v>
      </c>
      <c r="O103" s="40" t="s">
        <v>20</v>
      </c>
      <c r="P103" s="40" t="s">
        <v>21</v>
      </c>
      <c r="Q103" s="40" t="s">
        <v>22</v>
      </c>
      <c r="R103" s="40" t="s">
        <v>23</v>
      </c>
      <c r="S103" s="23" t="s">
        <v>24</v>
      </c>
      <c r="T103" s="23" t="s">
        <v>25</v>
      </c>
    </row>
    <row r="104" spans="1:20 16384:16384" ht="51.75" customHeight="1" x14ac:dyDescent="0.25">
      <c r="A104" s="93" t="s">
        <v>57</v>
      </c>
      <c r="B104" s="17"/>
      <c r="C104" s="25" t="s">
        <v>58</v>
      </c>
      <c r="D104" s="19"/>
      <c r="E104" s="26">
        <v>2025</v>
      </c>
      <c r="F104" s="27">
        <v>5000</v>
      </c>
      <c r="G104" s="22">
        <v>30000</v>
      </c>
      <c r="H104" s="40"/>
      <c r="I104" s="22"/>
      <c r="J104" s="40"/>
      <c r="K104" s="22"/>
      <c r="L104" s="22">
        <v>5000</v>
      </c>
      <c r="M104" s="22">
        <v>5000</v>
      </c>
      <c r="N104" s="22">
        <v>20000</v>
      </c>
      <c r="O104" s="22"/>
      <c r="P104" s="22"/>
      <c r="Q104" s="22"/>
      <c r="R104" s="22"/>
      <c r="S104" s="64">
        <f t="shared" ref="S104:S110" si="7">SUM(G104:R104)</f>
        <v>60000</v>
      </c>
      <c r="T104" s="29">
        <f>SUM(F104*IF(E104=_current_year,_current_month,12)-(S104))</f>
        <v>0</v>
      </c>
    </row>
    <row r="105" spans="1:20 16384:16384" ht="51.75" customHeight="1" x14ac:dyDescent="0.6">
      <c r="A105" s="93"/>
      <c r="B105" s="17"/>
      <c r="C105" s="25"/>
      <c r="D105" s="19"/>
      <c r="E105" s="30">
        <v>2024</v>
      </c>
      <c r="F105" s="27">
        <v>3000</v>
      </c>
      <c r="G105" s="22"/>
      <c r="H105" s="22">
        <v>95000</v>
      </c>
      <c r="I105" s="22"/>
      <c r="K105" s="22">
        <v>3000</v>
      </c>
      <c r="L105" s="22">
        <v>6000</v>
      </c>
      <c r="M105" s="22"/>
      <c r="N105" s="22"/>
      <c r="O105" s="22">
        <v>3000</v>
      </c>
      <c r="P105" s="22"/>
      <c r="Q105" s="22"/>
      <c r="R105" s="22"/>
      <c r="S105" s="37">
        <f t="shared" si="7"/>
        <v>107000</v>
      </c>
      <c r="T105" s="22">
        <f>SUM(F105*IF(E105=_current_year,_current_month,12)-(S105))</f>
        <v>-71000</v>
      </c>
    </row>
    <row r="106" spans="1:20 16384:16384" ht="51.75" customHeight="1" x14ac:dyDescent="0.25">
      <c r="A106" s="93"/>
      <c r="B106" s="17"/>
      <c r="C106" s="25"/>
      <c r="D106" s="19"/>
      <c r="E106" s="30">
        <v>2023</v>
      </c>
      <c r="F106" s="27">
        <v>3000</v>
      </c>
      <c r="G106" s="22" t="s">
        <v>59</v>
      </c>
      <c r="H106" s="22"/>
      <c r="I106" s="22"/>
      <c r="J106" s="22">
        <v>40000</v>
      </c>
      <c r="K106" s="22"/>
      <c r="L106" s="22"/>
      <c r="M106" s="22"/>
      <c r="N106" s="22"/>
      <c r="O106" s="22"/>
      <c r="P106" s="22"/>
      <c r="Q106" s="22"/>
      <c r="R106" s="22"/>
      <c r="S106" s="37">
        <f t="shared" si="7"/>
        <v>40000</v>
      </c>
      <c r="T106" s="22">
        <f>SUM(F106*12)-(S106)</f>
        <v>-4000</v>
      </c>
    </row>
    <row r="107" spans="1:20 16384:16384" ht="52.5" customHeight="1" x14ac:dyDescent="0.4">
      <c r="A107" s="93"/>
      <c r="B107" s="33" t="s">
        <v>28</v>
      </c>
      <c r="C107" s="25"/>
      <c r="D107" s="35"/>
      <c r="E107" s="30">
        <v>2022</v>
      </c>
      <c r="F107" s="27">
        <v>3000</v>
      </c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7">
        <f t="shared" si="7"/>
        <v>0</v>
      </c>
      <c r="T107" s="37">
        <f>SUM(36000-S107)</f>
        <v>36000</v>
      </c>
    </row>
    <row r="108" spans="1:20 16384:16384" ht="52.5" customHeight="1" x14ac:dyDescent="0.4">
      <c r="A108" s="93"/>
      <c r="B108" s="33" t="s">
        <v>28</v>
      </c>
      <c r="C108" s="80" t="s">
        <v>52</v>
      </c>
      <c r="D108" s="80"/>
      <c r="E108" s="30">
        <v>2021</v>
      </c>
      <c r="F108" s="27">
        <v>3000</v>
      </c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7">
        <f t="shared" si="7"/>
        <v>0</v>
      </c>
      <c r="T108" s="37">
        <f>SUM(36000-S108)</f>
        <v>36000</v>
      </c>
    </row>
    <row r="109" spans="1:20 16384:16384" ht="36.75" customHeight="1" x14ac:dyDescent="0.4">
      <c r="A109" s="93"/>
      <c r="B109" s="14" t="s">
        <v>60</v>
      </c>
      <c r="C109" s="80"/>
      <c r="D109" s="80"/>
      <c r="E109" s="30">
        <v>2020</v>
      </c>
      <c r="F109" s="27">
        <v>3000</v>
      </c>
      <c r="G109" s="40">
        <v>3000</v>
      </c>
      <c r="H109" s="94"/>
      <c r="I109" s="94"/>
      <c r="J109" s="94"/>
      <c r="K109" s="94"/>
      <c r="L109" s="94"/>
      <c r="M109" s="94"/>
      <c r="N109" s="40">
        <v>21000</v>
      </c>
      <c r="O109" s="94"/>
      <c r="P109" s="94"/>
      <c r="Q109" s="94"/>
      <c r="R109" s="94"/>
      <c r="S109" s="37">
        <f t="shared" si="7"/>
        <v>24000</v>
      </c>
      <c r="T109" s="37">
        <f>SUM(36000-S109)</f>
        <v>12000</v>
      </c>
    </row>
    <row r="110" spans="1:20 16384:16384" ht="36.75" customHeight="1" x14ac:dyDescent="0.4">
      <c r="A110" s="93"/>
      <c r="B110" s="14"/>
      <c r="C110" s="80"/>
      <c r="D110" s="80"/>
      <c r="E110" s="30">
        <v>2019</v>
      </c>
      <c r="F110" s="27">
        <v>3000</v>
      </c>
      <c r="G110" s="44">
        <v>3000</v>
      </c>
      <c r="H110" s="44">
        <v>3000</v>
      </c>
      <c r="I110" s="44">
        <v>3000</v>
      </c>
      <c r="J110" s="44">
        <v>3000</v>
      </c>
      <c r="K110" s="44">
        <v>3000</v>
      </c>
      <c r="L110" s="44">
        <v>3000</v>
      </c>
      <c r="M110" s="44">
        <v>3000</v>
      </c>
      <c r="N110" s="44">
        <v>3000</v>
      </c>
      <c r="O110" s="44">
        <v>3000</v>
      </c>
      <c r="P110" s="94">
        <v>3000</v>
      </c>
      <c r="Q110" s="94"/>
      <c r="R110" s="94">
        <v>6000</v>
      </c>
      <c r="S110" s="37">
        <f t="shared" si="7"/>
        <v>36000</v>
      </c>
      <c r="T110" s="37">
        <f>SUM(36000-S110)</f>
        <v>0</v>
      </c>
    </row>
    <row r="111" spans="1:20 16384:16384" ht="36.75" customHeight="1" x14ac:dyDescent="0.4">
      <c r="A111" s="93"/>
      <c r="B111" s="14"/>
      <c r="C111" s="80"/>
      <c r="D111" s="80"/>
      <c r="E111" s="30">
        <v>2018</v>
      </c>
      <c r="F111" s="27">
        <v>3000</v>
      </c>
      <c r="G111" s="33"/>
      <c r="H111" s="33"/>
      <c r="I111" s="33"/>
      <c r="J111" s="33"/>
      <c r="K111" s="33"/>
      <c r="L111" s="33"/>
      <c r="M111" s="33"/>
      <c r="N111" s="44">
        <v>3000</v>
      </c>
      <c r="O111" s="44">
        <v>3000</v>
      </c>
      <c r="P111" s="44">
        <v>3000</v>
      </c>
      <c r="Q111" s="44">
        <v>3000</v>
      </c>
      <c r="R111" s="44">
        <v>3000</v>
      </c>
      <c r="S111" s="37">
        <f>SUM(N111:R111)</f>
        <v>15000</v>
      </c>
      <c r="T111" s="37">
        <f>SUM(15000-S111)</f>
        <v>0</v>
      </c>
    </row>
    <row r="112" spans="1:20 16384:16384" ht="36.75" customHeight="1" x14ac:dyDescent="0.4">
      <c r="A112" s="41" t="s">
        <v>30</v>
      </c>
      <c r="B112" s="14"/>
      <c r="C112" s="80"/>
      <c r="D112" s="80"/>
      <c r="E112" s="30"/>
      <c r="F112" s="30"/>
      <c r="G112" s="33"/>
      <c r="H112" s="33"/>
      <c r="I112" s="33"/>
      <c r="J112" s="33"/>
      <c r="K112" s="33"/>
      <c r="L112" s="33"/>
      <c r="M112" s="33"/>
      <c r="N112" s="44"/>
      <c r="O112" s="44"/>
      <c r="P112" s="44"/>
      <c r="Q112" s="44"/>
      <c r="R112" s="44"/>
      <c r="S112" s="37"/>
      <c r="T112" s="37"/>
    </row>
    <row r="113" spans="1:20" ht="37.5" customHeight="1" thickBot="1" x14ac:dyDescent="0.45">
      <c r="A113" s="41"/>
      <c r="B113" s="14"/>
      <c r="C113" s="80"/>
      <c r="D113" s="80"/>
      <c r="E113" s="49"/>
      <c r="F113" s="50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2">
        <f>SUM(S104:S112)</f>
        <v>282000</v>
      </c>
      <c r="T113" s="87">
        <f>SUM(T104:T112)</f>
        <v>9000</v>
      </c>
    </row>
    <row r="114" spans="1:20" ht="36.75" x14ac:dyDescent="0.45">
      <c r="A114" s="13"/>
      <c r="B114" s="14"/>
      <c r="C114" s="14"/>
      <c r="D114" s="15"/>
      <c r="E114" s="14"/>
      <c r="F114" s="16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8"/>
      <c r="T114" s="8"/>
    </row>
    <row r="115" spans="1:20" ht="80.25" customHeight="1" x14ac:dyDescent="0.25">
      <c r="A115" s="54" t="s">
        <v>31</v>
      </c>
      <c r="B115" s="55" t="s">
        <v>7</v>
      </c>
      <c r="C115" s="30" t="s">
        <v>32</v>
      </c>
      <c r="D115" s="30" t="s">
        <v>33</v>
      </c>
      <c r="E115" s="30" t="s">
        <v>34</v>
      </c>
      <c r="F115" s="21" t="s">
        <v>11</v>
      </c>
      <c r="G115" s="40" t="s">
        <v>12</v>
      </c>
      <c r="H115" s="40" t="s">
        <v>13</v>
      </c>
      <c r="I115" s="40" t="s">
        <v>14</v>
      </c>
      <c r="J115" s="40" t="s">
        <v>15</v>
      </c>
      <c r="K115" s="40" t="s">
        <v>16</v>
      </c>
      <c r="L115" s="40" t="s">
        <v>17</v>
      </c>
      <c r="M115" s="40" t="s">
        <v>18</v>
      </c>
      <c r="N115" s="40" t="s">
        <v>19</v>
      </c>
      <c r="O115" s="40" t="s">
        <v>20</v>
      </c>
      <c r="P115" s="40" t="s">
        <v>21</v>
      </c>
      <c r="Q115" s="40" t="s">
        <v>22</v>
      </c>
      <c r="R115" s="40" t="s">
        <v>23</v>
      </c>
      <c r="S115" s="23" t="s">
        <v>24</v>
      </c>
      <c r="T115" s="23" t="s">
        <v>25</v>
      </c>
    </row>
    <row r="116" spans="1:20" ht="51.75" customHeight="1" x14ac:dyDescent="0.25">
      <c r="A116" s="93" t="s">
        <v>61</v>
      </c>
      <c r="B116" s="17"/>
      <c r="C116" s="25" t="s">
        <v>62</v>
      </c>
      <c r="D116" s="84" t="s">
        <v>63</v>
      </c>
      <c r="E116" s="26">
        <v>2025</v>
      </c>
      <c r="F116" s="27">
        <v>5000</v>
      </c>
      <c r="G116" s="36"/>
      <c r="H116" s="36"/>
      <c r="I116" s="36"/>
      <c r="J116" s="36"/>
      <c r="K116" s="36">
        <v>30000</v>
      </c>
      <c r="L116" s="36"/>
      <c r="M116" s="36"/>
      <c r="N116" s="36"/>
      <c r="O116" s="36"/>
      <c r="P116" s="36"/>
      <c r="Q116" s="36"/>
      <c r="R116" s="36"/>
      <c r="S116" s="64">
        <f>SUM(G116:R116)</f>
        <v>30000</v>
      </c>
      <c r="T116" s="29">
        <f>SUM(F116*IF(E116=_current_year,_current_month,12)-(S116))</f>
        <v>30000</v>
      </c>
    </row>
    <row r="117" spans="1:20" ht="51.75" customHeight="1" x14ac:dyDescent="0.25">
      <c r="A117" s="93"/>
      <c r="B117" s="17"/>
      <c r="C117" s="25"/>
      <c r="D117" s="84" t="s">
        <v>63</v>
      </c>
      <c r="E117" s="30">
        <v>2024</v>
      </c>
      <c r="F117" s="27">
        <v>3000</v>
      </c>
      <c r="G117" s="36"/>
      <c r="H117" s="36"/>
      <c r="I117" s="36"/>
      <c r="J117" s="36"/>
      <c r="K117" s="36"/>
      <c r="L117" s="36"/>
      <c r="M117" s="36"/>
      <c r="N117" s="36">
        <v>45000</v>
      </c>
      <c r="O117" s="36"/>
      <c r="P117" s="36"/>
      <c r="Q117" s="36"/>
      <c r="R117" s="36"/>
      <c r="S117" s="37">
        <f>SUM(G117:R117)</f>
        <v>45000</v>
      </c>
      <c r="T117" s="22">
        <f>SUM(F117*IF(E117=_current_year,_current_month,12)-(S117))</f>
        <v>-9000</v>
      </c>
    </row>
    <row r="118" spans="1:20" ht="51.75" customHeight="1" x14ac:dyDescent="0.25">
      <c r="A118" s="93"/>
      <c r="B118" s="17"/>
      <c r="C118" s="25"/>
      <c r="D118" s="84" t="s">
        <v>63</v>
      </c>
      <c r="E118" s="30">
        <v>2023</v>
      </c>
      <c r="F118" s="27">
        <v>3000</v>
      </c>
      <c r="G118" s="95"/>
      <c r="H118" s="95"/>
      <c r="I118" s="95"/>
      <c r="J118" s="95"/>
      <c r="K118" s="95"/>
      <c r="L118" s="95"/>
      <c r="M118" s="95"/>
      <c r="N118" s="60">
        <v>36000</v>
      </c>
      <c r="O118" s="60"/>
      <c r="P118" s="96"/>
      <c r="Q118" s="96"/>
      <c r="R118" s="96"/>
      <c r="S118" s="37">
        <f>SUM(N118:R118)</f>
        <v>36000</v>
      </c>
      <c r="T118" s="22">
        <f>SUM(F118*3)-(S118)</f>
        <v>-27000</v>
      </c>
    </row>
    <row r="119" spans="1:20" ht="52.5" customHeight="1" x14ac:dyDescent="0.4">
      <c r="A119" s="93"/>
      <c r="B119" s="33" t="s">
        <v>28</v>
      </c>
      <c r="C119" s="85" t="s">
        <v>64</v>
      </c>
      <c r="D119" s="35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98"/>
      <c r="T119" s="98"/>
    </row>
    <row r="120" spans="1:20" ht="52.5" customHeight="1" x14ac:dyDescent="0.4">
      <c r="A120" s="93"/>
      <c r="B120" s="33" t="s">
        <v>28</v>
      </c>
      <c r="C120" s="80" t="s">
        <v>52</v>
      </c>
      <c r="D120" s="80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8"/>
      <c r="T120" s="98"/>
    </row>
    <row r="121" spans="1:20" ht="36.75" customHeight="1" x14ac:dyDescent="0.4">
      <c r="A121" s="41" t="s">
        <v>30</v>
      </c>
      <c r="B121" s="14"/>
      <c r="C121" s="80"/>
      <c r="D121" s="80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8"/>
      <c r="T121" s="98"/>
    </row>
    <row r="122" spans="1:20" ht="37.5" customHeight="1" thickBot="1" x14ac:dyDescent="0.45">
      <c r="A122" s="41"/>
      <c r="B122" s="14"/>
      <c r="C122" s="80"/>
      <c r="D122" s="80"/>
      <c r="E122" s="49"/>
      <c r="F122" s="50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99">
        <f>SUM(S116:S121)</f>
        <v>111000</v>
      </c>
      <c r="T122" s="87">
        <f>SUM(T116:T121)</f>
        <v>-6000</v>
      </c>
    </row>
    <row r="123" spans="1:20" ht="36.75" x14ac:dyDescent="0.45">
      <c r="A123" s="13"/>
      <c r="B123" s="14"/>
      <c r="C123" s="14"/>
      <c r="D123" s="15"/>
      <c r="E123" s="14"/>
      <c r="F123" s="16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8"/>
      <c r="T123" s="8"/>
    </row>
    <row r="124" spans="1:20" ht="78" customHeight="1" x14ac:dyDescent="0.25">
      <c r="A124" s="54" t="s">
        <v>31</v>
      </c>
      <c r="B124" s="55" t="s">
        <v>7</v>
      </c>
      <c r="C124" s="30" t="s">
        <v>32</v>
      </c>
      <c r="D124" s="30" t="s">
        <v>33</v>
      </c>
      <c r="E124" s="30" t="s">
        <v>34</v>
      </c>
      <c r="F124" s="21" t="s">
        <v>11</v>
      </c>
      <c r="G124" s="40" t="s">
        <v>12</v>
      </c>
      <c r="H124" s="40" t="s">
        <v>13</v>
      </c>
      <c r="I124" s="40" t="s">
        <v>14</v>
      </c>
      <c r="J124" s="40" t="s">
        <v>15</v>
      </c>
      <c r="K124" s="40" t="s">
        <v>16</v>
      </c>
      <c r="L124" s="40" t="s">
        <v>17</v>
      </c>
      <c r="M124" s="40" t="s">
        <v>18</v>
      </c>
      <c r="N124" s="40" t="s">
        <v>19</v>
      </c>
      <c r="O124" s="40" t="s">
        <v>20</v>
      </c>
      <c r="P124" s="40" t="s">
        <v>21</v>
      </c>
      <c r="Q124" s="40" t="s">
        <v>22</v>
      </c>
      <c r="R124" s="40" t="s">
        <v>23</v>
      </c>
      <c r="S124" s="23" t="s">
        <v>24</v>
      </c>
      <c r="T124" s="23" t="s">
        <v>25</v>
      </c>
    </row>
    <row r="125" spans="1:20" ht="51.75" customHeight="1" x14ac:dyDescent="0.25">
      <c r="A125" s="93" t="s">
        <v>65</v>
      </c>
      <c r="B125" s="17"/>
      <c r="C125" s="56" t="s">
        <v>66</v>
      </c>
      <c r="D125" s="19"/>
      <c r="E125" s="26">
        <v>2025</v>
      </c>
      <c r="F125" s="27">
        <v>5000</v>
      </c>
      <c r="G125" s="22"/>
      <c r="H125" s="22"/>
      <c r="I125" s="22"/>
      <c r="J125" s="22"/>
      <c r="K125" s="22"/>
      <c r="L125" s="22"/>
      <c r="M125" s="22">
        <v>37000</v>
      </c>
      <c r="N125" s="22"/>
      <c r="O125" s="22">
        <v>10000</v>
      </c>
      <c r="P125" s="22"/>
      <c r="Q125" s="22"/>
      <c r="R125" s="22"/>
      <c r="S125" s="64">
        <f>SUM(G125:R125)</f>
        <v>47000</v>
      </c>
      <c r="T125" s="29">
        <f>SUM(F125*IF(E125=_current_year,_current_month,12)-(S125))</f>
        <v>13000</v>
      </c>
    </row>
    <row r="126" spans="1:20" ht="51.75" customHeight="1" x14ac:dyDescent="0.25">
      <c r="A126" s="93"/>
      <c r="B126" s="17"/>
      <c r="C126" s="56"/>
      <c r="D126" s="19"/>
      <c r="E126" s="30">
        <v>2024</v>
      </c>
      <c r="F126" s="27">
        <v>3000</v>
      </c>
      <c r="G126" s="22"/>
      <c r="H126" s="22"/>
      <c r="I126" s="22"/>
      <c r="J126" s="22">
        <v>27000</v>
      </c>
      <c r="K126" s="22"/>
      <c r="L126" s="22"/>
      <c r="M126" s="22"/>
      <c r="N126" s="22"/>
      <c r="O126" s="22">
        <v>47000</v>
      </c>
      <c r="P126" s="22"/>
      <c r="Q126" s="22"/>
      <c r="R126" s="22"/>
      <c r="S126" s="37">
        <f>SUM(G126:R126)</f>
        <v>74000</v>
      </c>
      <c r="T126" s="22">
        <f>SUM(F126*IF(E126=_current_year,_current_month,12)-(S126))</f>
        <v>-38000</v>
      </c>
    </row>
    <row r="127" spans="1:20" ht="51.75" customHeight="1" x14ac:dyDescent="0.25">
      <c r="A127" s="93"/>
      <c r="B127" s="17"/>
      <c r="C127" s="56"/>
      <c r="D127" s="19"/>
      <c r="E127" s="30">
        <v>2023</v>
      </c>
      <c r="F127" s="27">
        <v>3000</v>
      </c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37">
        <f>SUM(G127:R127)</f>
        <v>0</v>
      </c>
      <c r="T127" s="100">
        <f>SUM(F127*12)-(S127)</f>
        <v>36000</v>
      </c>
    </row>
    <row r="128" spans="1:20" ht="36.75" customHeight="1" x14ac:dyDescent="0.4">
      <c r="A128" s="93"/>
      <c r="B128" s="33" t="s">
        <v>28</v>
      </c>
      <c r="C128" s="85" t="s">
        <v>67</v>
      </c>
      <c r="D128" s="35"/>
      <c r="E128" s="30">
        <v>2022</v>
      </c>
      <c r="F128" s="27">
        <v>3000</v>
      </c>
      <c r="G128" s="36"/>
      <c r="H128" s="36">
        <v>50000</v>
      </c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7">
        <f>SUM(G128:R128)</f>
        <v>50000</v>
      </c>
      <c r="T128" s="101">
        <f>SUM(36000-S128)</f>
        <v>-14000</v>
      </c>
    </row>
    <row r="129" spans="1:39" ht="59.25" customHeight="1" x14ac:dyDescent="0.4">
      <c r="A129" s="93"/>
      <c r="B129" s="33" t="s">
        <v>28</v>
      </c>
      <c r="C129" s="80" t="s">
        <v>52</v>
      </c>
      <c r="D129" s="80"/>
      <c r="E129" s="30">
        <v>2021</v>
      </c>
      <c r="F129" s="27">
        <v>3000</v>
      </c>
      <c r="G129" s="36"/>
      <c r="H129" s="36"/>
      <c r="I129" s="36"/>
      <c r="J129" s="36"/>
      <c r="K129" s="36"/>
      <c r="L129" s="36"/>
      <c r="M129" s="36"/>
      <c r="N129" s="36"/>
      <c r="O129" s="36"/>
      <c r="P129" s="36">
        <v>50000</v>
      </c>
      <c r="Q129" s="36"/>
      <c r="R129" s="36"/>
      <c r="S129" s="37">
        <f>SUM(G129:R129)</f>
        <v>50000</v>
      </c>
      <c r="T129" s="101">
        <f>SUM(36000-S129)</f>
        <v>-14000</v>
      </c>
    </row>
    <row r="130" spans="1:39" ht="36.75" customHeight="1" x14ac:dyDescent="0.4">
      <c r="A130" s="41" t="s">
        <v>30</v>
      </c>
      <c r="B130" s="14" t="s">
        <v>68</v>
      </c>
      <c r="C130" s="80"/>
      <c r="D130" s="80"/>
      <c r="E130" s="30">
        <v>2020</v>
      </c>
      <c r="F130" s="27">
        <v>3000</v>
      </c>
      <c r="G130" s="36"/>
      <c r="H130" s="36"/>
      <c r="I130" s="60"/>
      <c r="J130" s="36"/>
      <c r="K130" s="36"/>
      <c r="L130" s="36"/>
      <c r="M130" s="36"/>
      <c r="N130" s="36"/>
      <c r="O130" s="36"/>
      <c r="P130" s="36"/>
      <c r="Q130" s="36"/>
      <c r="R130" s="36"/>
      <c r="S130" s="37">
        <f>SUM(I130:R130)</f>
        <v>0</v>
      </c>
      <c r="T130" s="37">
        <f>SUM(27000-S130)</f>
        <v>27000</v>
      </c>
    </row>
    <row r="131" spans="1:39" ht="36.75" customHeight="1" x14ac:dyDescent="0.4">
      <c r="A131" s="41"/>
      <c r="B131" s="14"/>
      <c r="C131" s="80"/>
      <c r="D131" s="80"/>
      <c r="E131" s="103"/>
      <c r="F131" s="104"/>
      <c r="G131" s="104"/>
      <c r="H131" s="104"/>
      <c r="I131" s="104"/>
      <c r="J131" s="104"/>
      <c r="K131" s="104"/>
      <c r="L131" s="104"/>
      <c r="M131" s="104"/>
      <c r="N131" s="104"/>
      <c r="O131" s="104"/>
      <c r="P131" s="104"/>
      <c r="Q131" s="104"/>
      <c r="R131" s="104"/>
      <c r="S131" s="105"/>
      <c r="T131" s="105"/>
    </row>
    <row r="132" spans="1:39" ht="37.5" thickBot="1" x14ac:dyDescent="0.45">
      <c r="A132" s="13"/>
      <c r="B132" s="14"/>
      <c r="C132" s="80"/>
      <c r="D132" s="80"/>
      <c r="E132" s="49"/>
      <c r="F132" s="50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99">
        <f>SUM(S125:S131)</f>
        <v>221000</v>
      </c>
      <c r="T132" s="87">
        <f>SUM(T125:T131)</f>
        <v>10000</v>
      </c>
    </row>
    <row r="133" spans="1:39" ht="36.75" x14ac:dyDescent="0.4">
      <c r="A133" s="13"/>
      <c r="B133" s="14"/>
      <c r="C133" s="14"/>
      <c r="D133" s="15"/>
      <c r="E133" s="106"/>
      <c r="F133" s="107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8"/>
      <c r="T133" s="108"/>
    </row>
    <row r="134" spans="1:39" ht="55.15" customHeight="1" x14ac:dyDescent="0.25">
      <c r="A134" s="54" t="s">
        <v>31</v>
      </c>
      <c r="B134" s="55" t="s">
        <v>7</v>
      </c>
      <c r="C134" s="30" t="s">
        <v>32</v>
      </c>
      <c r="D134" s="30" t="s">
        <v>33</v>
      </c>
      <c r="E134" s="30" t="s">
        <v>34</v>
      </c>
      <c r="F134" s="21" t="s">
        <v>11</v>
      </c>
      <c r="G134" s="40" t="s">
        <v>12</v>
      </c>
      <c r="H134" s="40" t="s">
        <v>13</v>
      </c>
      <c r="I134" s="40" t="s">
        <v>14</v>
      </c>
      <c r="J134" s="40" t="s">
        <v>15</v>
      </c>
      <c r="K134" s="40" t="s">
        <v>16</v>
      </c>
      <c r="L134" s="40" t="s">
        <v>17</v>
      </c>
      <c r="M134" s="40" t="s">
        <v>18</v>
      </c>
      <c r="N134" s="40" t="s">
        <v>19</v>
      </c>
      <c r="O134" s="40" t="s">
        <v>20</v>
      </c>
      <c r="P134" s="40" t="s">
        <v>21</v>
      </c>
      <c r="Q134" s="40" t="s">
        <v>22</v>
      </c>
      <c r="R134" s="40" t="s">
        <v>23</v>
      </c>
      <c r="S134" s="23" t="s">
        <v>24</v>
      </c>
      <c r="T134" s="23" t="s">
        <v>25</v>
      </c>
    </row>
    <row r="135" spans="1:39" ht="51.75" customHeight="1" x14ac:dyDescent="0.25">
      <c r="A135" s="109" t="s">
        <v>69</v>
      </c>
      <c r="B135" s="17"/>
      <c r="C135" s="56" t="s">
        <v>70</v>
      </c>
      <c r="D135" s="19"/>
      <c r="E135" s="26">
        <v>2025</v>
      </c>
      <c r="F135" s="27">
        <v>5000</v>
      </c>
      <c r="G135" s="22"/>
      <c r="H135" s="22">
        <v>63000</v>
      </c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64">
        <f>SUM(G135:R135)</f>
        <v>63000</v>
      </c>
      <c r="T135" s="29">
        <f>SUM(F135*IF(E135=_current_year,_current_month,12)-(S135))</f>
        <v>-3000</v>
      </c>
    </row>
    <row r="136" spans="1:39" ht="51.75" customHeight="1" x14ac:dyDescent="0.25">
      <c r="A136" s="109"/>
      <c r="B136" s="17"/>
      <c r="C136" s="56"/>
      <c r="D136" s="19"/>
      <c r="E136" s="30">
        <v>2024</v>
      </c>
      <c r="F136" s="27">
        <v>3000</v>
      </c>
      <c r="G136" s="22"/>
      <c r="H136" s="22"/>
      <c r="I136" s="22"/>
      <c r="J136" s="22"/>
      <c r="K136" s="22"/>
      <c r="L136" s="22"/>
      <c r="M136" s="22"/>
      <c r="N136" s="22">
        <v>12000</v>
      </c>
      <c r="O136" s="22"/>
      <c r="P136" s="22"/>
      <c r="Q136" s="22"/>
      <c r="R136" s="22"/>
      <c r="S136" s="37">
        <f>SUM(G136:R136)</f>
        <v>12000</v>
      </c>
      <c r="T136" s="22">
        <f>SUM(F136*IF(E136=_current_year,_current_month,12)-(S136))</f>
        <v>24000</v>
      </c>
    </row>
    <row r="137" spans="1:39" ht="51.75" customHeight="1" x14ac:dyDescent="0.25">
      <c r="A137" s="109"/>
      <c r="B137" s="17"/>
      <c r="C137" s="56"/>
      <c r="D137" s="19"/>
      <c r="E137" s="30">
        <v>2023</v>
      </c>
      <c r="F137" s="27">
        <v>3000</v>
      </c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37">
        <f>SUM(G137:R137)</f>
        <v>0</v>
      </c>
      <c r="T137" s="22">
        <f>SUM(F137*12)-(S137)</f>
        <v>36000</v>
      </c>
    </row>
    <row r="138" spans="1:39" ht="54.75" customHeight="1" x14ac:dyDescent="0.4">
      <c r="A138" s="109"/>
      <c r="B138" s="33" t="s">
        <v>28</v>
      </c>
      <c r="C138" s="56"/>
      <c r="D138" s="35"/>
      <c r="E138" s="30">
        <v>2022</v>
      </c>
      <c r="F138" s="27">
        <v>3000</v>
      </c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110">
        <v>60000</v>
      </c>
      <c r="R138" s="36"/>
      <c r="S138" s="37">
        <f>SUM(Q138:R138)</f>
        <v>60000</v>
      </c>
      <c r="T138" s="101">
        <f>SUM(3000-S138)</f>
        <v>-57000</v>
      </c>
    </row>
    <row r="139" spans="1:39" ht="55.15" customHeight="1" x14ac:dyDescent="0.4">
      <c r="A139" s="41" t="s">
        <v>30</v>
      </c>
      <c r="B139" s="14" t="s">
        <v>68</v>
      </c>
      <c r="C139" s="82" t="s">
        <v>56</v>
      </c>
      <c r="D139" s="82"/>
      <c r="E139" s="111"/>
      <c r="F139" s="92"/>
      <c r="G139" s="92"/>
      <c r="H139" s="92"/>
      <c r="I139" s="92"/>
      <c r="J139" s="92"/>
      <c r="K139" s="92"/>
      <c r="L139" s="92"/>
      <c r="M139" s="92"/>
      <c r="N139" s="92"/>
      <c r="O139" s="92"/>
      <c r="P139" s="92"/>
      <c r="Q139" s="92"/>
      <c r="R139" s="92"/>
      <c r="S139" s="92"/>
      <c r="T139" s="112"/>
    </row>
    <row r="140" spans="1:39" ht="55.15" customHeight="1" x14ac:dyDescent="0.4">
      <c r="A140" s="41"/>
      <c r="B140" s="14"/>
      <c r="C140" s="82"/>
      <c r="D140" s="82"/>
      <c r="E140" s="113"/>
      <c r="F140" s="114"/>
      <c r="G140" s="114"/>
      <c r="H140" s="114"/>
      <c r="I140" s="114"/>
      <c r="J140" s="114"/>
      <c r="K140" s="114"/>
      <c r="L140" s="114"/>
      <c r="M140" s="114"/>
      <c r="N140" s="114"/>
      <c r="O140" s="114"/>
      <c r="P140" s="114"/>
      <c r="Q140" s="114"/>
      <c r="R140" s="114"/>
      <c r="S140" s="114"/>
      <c r="T140" s="115"/>
    </row>
    <row r="141" spans="1:39" ht="55.15" customHeight="1" thickBot="1" x14ac:dyDescent="0.45">
      <c r="A141" s="13"/>
      <c r="B141" s="14"/>
      <c r="C141" s="82"/>
      <c r="D141" s="82"/>
      <c r="E141" s="49"/>
      <c r="F141" s="50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99">
        <f>SUM(S135:S140)</f>
        <v>135000</v>
      </c>
      <c r="T141" s="87">
        <f>SUM(T135:T140)</f>
        <v>0</v>
      </c>
    </row>
    <row r="142" spans="1:39" x14ac:dyDescent="0.6">
      <c r="AM142"/>
    </row>
    <row r="143" spans="1:39" ht="55.15" customHeight="1" x14ac:dyDescent="0.25">
      <c r="A143" s="54" t="s">
        <v>31</v>
      </c>
      <c r="B143" s="55" t="s">
        <v>7</v>
      </c>
      <c r="C143" s="30" t="s">
        <v>32</v>
      </c>
      <c r="D143" s="30" t="s">
        <v>33</v>
      </c>
      <c r="E143" s="30" t="s">
        <v>34</v>
      </c>
      <c r="F143" s="21" t="s">
        <v>11</v>
      </c>
      <c r="G143" s="40" t="s">
        <v>12</v>
      </c>
      <c r="H143" s="40" t="s">
        <v>13</v>
      </c>
      <c r="I143" s="40" t="s">
        <v>14</v>
      </c>
      <c r="J143" s="40" t="s">
        <v>15</v>
      </c>
      <c r="K143" s="40" t="s">
        <v>16</v>
      </c>
      <c r="L143" s="40" t="s">
        <v>17</v>
      </c>
      <c r="M143" s="40" t="s">
        <v>18</v>
      </c>
      <c r="N143" s="40" t="s">
        <v>19</v>
      </c>
      <c r="O143" s="40" t="s">
        <v>20</v>
      </c>
      <c r="P143" s="40" t="s">
        <v>21</v>
      </c>
      <c r="Q143" s="40" t="s">
        <v>22</v>
      </c>
      <c r="R143" s="40" t="s">
        <v>23</v>
      </c>
      <c r="S143" s="23" t="s">
        <v>24</v>
      </c>
      <c r="T143" s="23" t="s">
        <v>25</v>
      </c>
      <c r="AM143"/>
    </row>
    <row r="144" spans="1:39" ht="51.75" customHeight="1" x14ac:dyDescent="0.25">
      <c r="A144" s="24">
        <v>12</v>
      </c>
      <c r="B144" s="17"/>
      <c r="C144" s="56" t="s">
        <v>71</v>
      </c>
      <c r="D144" s="19" t="str">
        <f>C144</f>
        <v>TIM AKENROYE (PASTOR) LANDLORD</v>
      </c>
      <c r="E144" s="26">
        <v>2025</v>
      </c>
      <c r="F144" s="27">
        <v>10000</v>
      </c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64">
        <f t="shared" ref="S144:S154" si="8">SUM(G144:R144)</f>
        <v>0</v>
      </c>
      <c r="T144" s="29">
        <f>SUM(F144*IF(E144=_current_year,_current_month,12)-(S144))</f>
        <v>120000</v>
      </c>
      <c r="AM144"/>
    </row>
    <row r="145" spans="1:39" ht="51.75" customHeight="1" x14ac:dyDescent="0.25">
      <c r="A145" s="120"/>
      <c r="B145" s="17"/>
      <c r="C145" s="121"/>
      <c r="D145" s="19"/>
      <c r="E145" s="30">
        <v>2024</v>
      </c>
      <c r="F145" s="27">
        <v>5000</v>
      </c>
      <c r="G145" s="22"/>
      <c r="H145" s="22"/>
      <c r="I145" s="22"/>
      <c r="J145" s="22"/>
      <c r="K145" s="22"/>
      <c r="L145" s="22"/>
      <c r="M145" s="22"/>
      <c r="N145" s="22"/>
      <c r="O145" s="22">
        <v>54000</v>
      </c>
      <c r="P145" s="22"/>
      <c r="Q145" s="22"/>
      <c r="R145" s="22"/>
      <c r="S145" s="37">
        <f t="shared" si="8"/>
        <v>54000</v>
      </c>
      <c r="T145" s="29">
        <f>SUM(F145*IF(E145=_current_year,_current_month,12)-(S145))</f>
        <v>6000</v>
      </c>
      <c r="AM145"/>
    </row>
    <row r="146" spans="1:39" ht="51.75" customHeight="1" x14ac:dyDescent="0.25">
      <c r="A146" s="120"/>
      <c r="B146" s="17"/>
      <c r="C146" s="122"/>
      <c r="D146" s="19"/>
      <c r="E146" s="30">
        <v>2023</v>
      </c>
      <c r="F146" s="27">
        <v>5000</v>
      </c>
      <c r="G146" s="22"/>
      <c r="H146" s="22"/>
      <c r="I146" s="22"/>
      <c r="J146" s="22">
        <v>29000</v>
      </c>
      <c r="K146" s="22"/>
      <c r="L146" s="22"/>
      <c r="M146" s="22"/>
      <c r="N146" s="22"/>
      <c r="O146" s="22"/>
      <c r="P146" s="22"/>
      <c r="Q146" s="22"/>
      <c r="R146" s="22"/>
      <c r="S146" s="37">
        <f t="shared" si="8"/>
        <v>29000</v>
      </c>
      <c r="T146" s="22">
        <f>SUM(F146*12)-(S146)</f>
        <v>31000</v>
      </c>
      <c r="AM146"/>
    </row>
    <row r="147" spans="1:39" ht="55.15" customHeight="1" x14ac:dyDescent="0.4">
      <c r="A147" s="120"/>
      <c r="B147" s="33" t="s">
        <v>28</v>
      </c>
      <c r="C147" s="123"/>
      <c r="D147" s="35"/>
      <c r="E147" s="30">
        <v>2022</v>
      </c>
      <c r="F147" s="27">
        <v>5000</v>
      </c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7">
        <f t="shared" si="8"/>
        <v>0</v>
      </c>
      <c r="T147" s="37">
        <f t="shared" ref="T147:T154" si="9">SUM(60000-S147)</f>
        <v>60000</v>
      </c>
      <c r="AM147"/>
    </row>
    <row r="148" spans="1:39" ht="55.15" customHeight="1" x14ac:dyDescent="0.4">
      <c r="A148" s="120"/>
      <c r="B148" s="33" t="s">
        <v>28</v>
      </c>
      <c r="C148" s="38" t="s">
        <v>52</v>
      </c>
      <c r="D148" s="124"/>
      <c r="E148" s="30">
        <v>2021</v>
      </c>
      <c r="F148" s="27">
        <v>5000</v>
      </c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7">
        <f t="shared" si="8"/>
        <v>0</v>
      </c>
      <c r="T148" s="37">
        <f t="shared" si="9"/>
        <v>60000</v>
      </c>
      <c r="AM148"/>
    </row>
    <row r="149" spans="1:39" ht="55.15" customHeight="1" x14ac:dyDescent="0.4">
      <c r="A149" s="120"/>
      <c r="B149" s="14" t="s">
        <v>28</v>
      </c>
      <c r="C149" s="125"/>
      <c r="D149" s="126"/>
      <c r="E149" s="30">
        <v>2020</v>
      </c>
      <c r="F149" s="27">
        <v>5000</v>
      </c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>
        <v>20000</v>
      </c>
      <c r="S149" s="37">
        <f t="shared" si="8"/>
        <v>20000</v>
      </c>
      <c r="T149" s="37">
        <f t="shared" si="9"/>
        <v>40000</v>
      </c>
      <c r="AM149"/>
    </row>
    <row r="150" spans="1:39" ht="55.15" customHeight="1" x14ac:dyDescent="0.4">
      <c r="A150" s="41" t="s">
        <v>30</v>
      </c>
      <c r="B150" s="14"/>
      <c r="C150" s="125"/>
      <c r="D150" s="126"/>
      <c r="E150" s="30">
        <v>2019</v>
      </c>
      <c r="F150" s="27">
        <v>5000</v>
      </c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7">
        <f t="shared" si="8"/>
        <v>0</v>
      </c>
      <c r="T150" s="37">
        <f t="shared" si="9"/>
        <v>60000</v>
      </c>
      <c r="AM150"/>
    </row>
    <row r="151" spans="1:39" ht="55.15" customHeight="1" x14ac:dyDescent="0.4">
      <c r="A151" s="41"/>
      <c r="B151" s="14"/>
      <c r="C151" s="125"/>
      <c r="D151" s="126"/>
      <c r="E151" s="30">
        <v>2018</v>
      </c>
      <c r="F151" s="27">
        <v>5000</v>
      </c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7">
        <f t="shared" si="8"/>
        <v>0</v>
      </c>
      <c r="T151" s="37">
        <f t="shared" si="9"/>
        <v>60000</v>
      </c>
      <c r="AM151"/>
    </row>
    <row r="152" spans="1:39" ht="55.15" customHeight="1" x14ac:dyDescent="0.4">
      <c r="A152" s="127"/>
      <c r="B152" s="14"/>
      <c r="C152" s="125"/>
      <c r="D152" s="126"/>
      <c r="E152" s="30">
        <v>2017</v>
      </c>
      <c r="F152" s="27">
        <v>5000</v>
      </c>
      <c r="G152" s="36">
        <v>5000</v>
      </c>
      <c r="H152" s="36">
        <v>5000</v>
      </c>
      <c r="I152" s="36">
        <v>1000</v>
      </c>
      <c r="J152" s="36"/>
      <c r="K152" s="36"/>
      <c r="L152" s="36"/>
      <c r="M152" s="36"/>
      <c r="N152" s="36"/>
      <c r="O152" s="36"/>
      <c r="P152" s="36"/>
      <c r="Q152" s="36"/>
      <c r="R152" s="36"/>
      <c r="S152" s="37">
        <f t="shared" si="8"/>
        <v>11000</v>
      </c>
      <c r="T152" s="37">
        <f t="shared" si="9"/>
        <v>49000</v>
      </c>
      <c r="AM152"/>
    </row>
    <row r="153" spans="1:39" ht="55.15" customHeight="1" x14ac:dyDescent="0.4">
      <c r="A153" s="127"/>
      <c r="B153" s="14"/>
      <c r="C153" s="125"/>
      <c r="D153" s="126"/>
      <c r="E153" s="30">
        <v>2016</v>
      </c>
      <c r="F153" s="27">
        <v>5000</v>
      </c>
      <c r="G153" s="40"/>
      <c r="H153" s="40"/>
      <c r="I153" s="40"/>
      <c r="J153" s="40"/>
      <c r="K153" s="40"/>
      <c r="L153" s="40"/>
      <c r="M153" s="40"/>
      <c r="N153" s="40"/>
      <c r="O153" s="36"/>
      <c r="P153" s="36"/>
      <c r="Q153" s="36"/>
      <c r="R153" s="36"/>
      <c r="S153" s="37">
        <f t="shared" si="8"/>
        <v>0</v>
      </c>
      <c r="T153" s="37">
        <f t="shared" si="9"/>
        <v>60000</v>
      </c>
      <c r="AM153"/>
    </row>
    <row r="154" spans="1:39" ht="55.15" customHeight="1" x14ac:dyDescent="0.4">
      <c r="A154" s="128"/>
      <c r="B154" s="14"/>
      <c r="C154" s="129"/>
      <c r="D154" s="130"/>
      <c r="E154" s="30">
        <v>2015</v>
      </c>
      <c r="F154" s="27">
        <v>5000</v>
      </c>
      <c r="G154" s="36">
        <v>5000</v>
      </c>
      <c r="H154" s="36">
        <v>5000</v>
      </c>
      <c r="I154" s="36">
        <v>5000</v>
      </c>
      <c r="J154" s="36">
        <v>5000</v>
      </c>
      <c r="K154" s="36">
        <v>5000</v>
      </c>
      <c r="L154" s="36">
        <v>5000</v>
      </c>
      <c r="M154" s="36">
        <v>5000</v>
      </c>
      <c r="N154" s="36">
        <v>5000</v>
      </c>
      <c r="O154" s="36"/>
      <c r="P154" s="36"/>
      <c r="Q154" s="36"/>
      <c r="R154" s="36"/>
      <c r="S154" s="37">
        <f t="shared" si="8"/>
        <v>40000</v>
      </c>
      <c r="T154" s="37">
        <f t="shared" si="9"/>
        <v>20000</v>
      </c>
      <c r="AM154"/>
    </row>
    <row r="155" spans="1:39" ht="55.15" customHeight="1" thickBot="1" x14ac:dyDescent="0.45">
      <c r="A155" s="13"/>
      <c r="B155" s="14"/>
      <c r="C155" s="14"/>
      <c r="D155" s="15"/>
      <c r="E155" s="49"/>
      <c r="F155" s="50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99">
        <f>SUM(S144:S154)</f>
        <v>154000</v>
      </c>
      <c r="T155" s="131">
        <f>SUM(T144:T154)</f>
        <v>566000</v>
      </c>
      <c r="AM155"/>
    </row>
    <row r="156" spans="1:39" ht="55.15" customHeight="1" x14ac:dyDescent="0.4">
      <c r="A156" s="13"/>
      <c r="B156" s="14"/>
      <c r="C156" s="14"/>
      <c r="D156" s="15"/>
      <c r="E156" s="49"/>
      <c r="F156" s="132"/>
      <c r="G156" s="104"/>
      <c r="H156" s="104"/>
      <c r="I156" s="104"/>
      <c r="J156" s="104"/>
      <c r="K156" s="104"/>
      <c r="L156" s="104"/>
      <c r="M156" s="104"/>
      <c r="N156" s="104"/>
      <c r="O156" s="104"/>
      <c r="P156" s="104"/>
      <c r="Q156" s="104"/>
      <c r="R156" s="104"/>
      <c r="S156"/>
      <c r="T156"/>
      <c r="AM156"/>
    </row>
    <row r="157" spans="1:39" ht="36.75" x14ac:dyDescent="0.4">
      <c r="A157" s="13"/>
      <c r="B157" s="14"/>
      <c r="C157" s="14"/>
      <c r="D157" s="15"/>
      <c r="E157" s="106"/>
      <c r="F157" s="107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8"/>
      <c r="T157" s="108"/>
    </row>
    <row r="158" spans="1:39" ht="55.15" customHeight="1" x14ac:dyDescent="0.25">
      <c r="A158" s="54" t="s">
        <v>31</v>
      </c>
      <c r="B158" s="55" t="s">
        <v>7</v>
      </c>
      <c r="C158" s="30" t="s">
        <v>32</v>
      </c>
      <c r="D158" s="30" t="s">
        <v>33</v>
      </c>
      <c r="E158" s="30" t="s">
        <v>34</v>
      </c>
      <c r="F158" s="21" t="s">
        <v>11</v>
      </c>
      <c r="G158" s="40" t="s">
        <v>12</v>
      </c>
      <c r="H158" s="40" t="s">
        <v>13</v>
      </c>
      <c r="I158" s="40" t="s">
        <v>14</v>
      </c>
      <c r="J158" s="40" t="s">
        <v>15</v>
      </c>
      <c r="K158" s="40" t="s">
        <v>16</v>
      </c>
      <c r="L158" s="40" t="s">
        <v>17</v>
      </c>
      <c r="M158" s="40" t="s">
        <v>18</v>
      </c>
      <c r="N158" s="40" t="s">
        <v>19</v>
      </c>
      <c r="O158" s="40" t="s">
        <v>20</v>
      </c>
      <c r="P158" s="40" t="s">
        <v>21</v>
      </c>
      <c r="Q158" s="40" t="s">
        <v>22</v>
      </c>
      <c r="R158" s="40" t="s">
        <v>23</v>
      </c>
      <c r="S158" s="23" t="s">
        <v>24</v>
      </c>
      <c r="T158" s="23" t="s">
        <v>25</v>
      </c>
    </row>
    <row r="159" spans="1:39" ht="51.75" customHeight="1" x14ac:dyDescent="0.25">
      <c r="A159" s="24" t="s">
        <v>72</v>
      </c>
      <c r="B159" s="17"/>
      <c r="C159" s="56" t="s">
        <v>73</v>
      </c>
      <c r="D159" s="19" t="str">
        <f>C159</f>
        <v>SAMUEL OLUWASEUN AJALA</v>
      </c>
      <c r="E159" s="26">
        <v>2025</v>
      </c>
      <c r="F159" s="27">
        <v>3000</v>
      </c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64">
        <f>SUM(G159:R159)</f>
        <v>0</v>
      </c>
      <c r="T159" s="29">
        <f>SUM(F159*IF(E159=_current_year,_current_month,12)-(S159))</f>
        <v>36000</v>
      </c>
    </row>
    <row r="160" spans="1:39" ht="51.75" customHeight="1" x14ac:dyDescent="0.25">
      <c r="A160" s="120"/>
      <c r="B160" s="17"/>
      <c r="C160" s="56"/>
      <c r="D160" s="19"/>
      <c r="E160" s="30">
        <v>2024</v>
      </c>
      <c r="F160" s="27">
        <v>3000</v>
      </c>
      <c r="G160" s="22"/>
      <c r="H160" s="22"/>
      <c r="I160" s="22"/>
      <c r="J160" s="22">
        <v>60000</v>
      </c>
      <c r="K160" s="22"/>
      <c r="L160" s="22"/>
      <c r="M160" s="22"/>
      <c r="N160" s="22"/>
      <c r="O160" s="22"/>
      <c r="P160" s="22"/>
      <c r="Q160" s="22"/>
      <c r="R160" s="22"/>
      <c r="S160" s="37">
        <f>SUM(G160:R160)</f>
        <v>60000</v>
      </c>
      <c r="T160" s="22">
        <f>SUM(F160*IF(E160=_current_year,_current_month,12)-(S160))</f>
        <v>-24000</v>
      </c>
    </row>
    <row r="161" spans="1:20" ht="51.75" customHeight="1" x14ac:dyDescent="0.25">
      <c r="A161" s="120"/>
      <c r="B161" s="17"/>
      <c r="C161" s="56"/>
      <c r="D161" s="19"/>
      <c r="E161" s="73" t="s">
        <v>74</v>
      </c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</row>
    <row r="162" spans="1:20" ht="55.15" customHeight="1" x14ac:dyDescent="0.4">
      <c r="A162" s="41" t="s">
        <v>30</v>
      </c>
      <c r="B162" s="33" t="s">
        <v>28</v>
      </c>
      <c r="C162" s="133" t="s">
        <v>52</v>
      </c>
      <c r="D162" s="35"/>
      <c r="E162" s="77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</row>
    <row r="163" spans="1:20" ht="55.15" customHeight="1" x14ac:dyDescent="0.4">
      <c r="A163" s="41"/>
      <c r="B163" s="33" t="s">
        <v>28</v>
      </c>
      <c r="C163" s="134"/>
      <c r="D163" s="35"/>
      <c r="E163" s="77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</row>
    <row r="164" spans="1:20" ht="55.15" customHeight="1" x14ac:dyDescent="0.5">
      <c r="B164" s="33" t="s">
        <v>28</v>
      </c>
      <c r="D164" s="81"/>
      <c r="E164" s="92"/>
      <c r="F164" s="92"/>
      <c r="G164" s="92"/>
      <c r="H164" s="92"/>
      <c r="I164" s="92"/>
      <c r="J164" s="92"/>
      <c r="K164" s="92"/>
      <c r="L164" s="92"/>
      <c r="M164" s="92"/>
      <c r="N164" s="92"/>
      <c r="O164" s="92"/>
      <c r="P164" s="92"/>
      <c r="Q164" s="92"/>
      <c r="R164" s="92"/>
      <c r="S164" s="92"/>
      <c r="T164" s="92"/>
    </row>
    <row r="165" spans="1:20" ht="55.15" customHeight="1" thickBot="1" x14ac:dyDescent="0.45">
      <c r="A165" s="13"/>
      <c r="B165" s="14"/>
      <c r="C165" s="14"/>
      <c r="D165" s="15"/>
      <c r="E165" s="49"/>
      <c r="F165" s="50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99">
        <f>SUM(S159:S164)</f>
        <v>60000</v>
      </c>
      <c r="T165" s="87">
        <f>SUM(T159:T164)</f>
        <v>12000</v>
      </c>
    </row>
    <row r="166" spans="1:20" ht="36.75" x14ac:dyDescent="0.45">
      <c r="A166" s="13"/>
      <c r="B166" s="14"/>
      <c r="C166" s="14"/>
      <c r="D166" s="15"/>
      <c r="E166" s="14"/>
      <c r="F166" s="16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8"/>
      <c r="T166" s="8"/>
    </row>
    <row r="167" spans="1:20" ht="36.75" x14ac:dyDescent="0.45">
      <c r="A167" s="13"/>
      <c r="B167" s="14"/>
      <c r="C167" s="14"/>
      <c r="D167" s="15"/>
      <c r="E167" s="14"/>
      <c r="F167" s="16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8"/>
      <c r="T167" s="8"/>
    </row>
    <row r="168" spans="1:20" ht="60" customHeight="1" x14ac:dyDescent="0.25">
      <c r="A168" s="54" t="s">
        <v>31</v>
      </c>
      <c r="B168" s="55" t="s">
        <v>7</v>
      </c>
      <c r="C168" s="30" t="s">
        <v>32</v>
      </c>
      <c r="D168" s="30" t="s">
        <v>33</v>
      </c>
      <c r="E168" s="30" t="s">
        <v>34</v>
      </c>
      <c r="F168" s="21" t="s">
        <v>11</v>
      </c>
      <c r="G168" s="40" t="s">
        <v>12</v>
      </c>
      <c r="H168" s="40" t="s">
        <v>13</v>
      </c>
      <c r="I168" s="40" t="s">
        <v>14</v>
      </c>
      <c r="J168" s="40" t="s">
        <v>15</v>
      </c>
      <c r="K168" s="40" t="s">
        <v>16</v>
      </c>
      <c r="L168" s="40" t="s">
        <v>17</v>
      </c>
      <c r="M168" s="40" t="s">
        <v>18</v>
      </c>
      <c r="N168" s="40" t="s">
        <v>19</v>
      </c>
      <c r="O168" s="40" t="s">
        <v>20</v>
      </c>
      <c r="P168" s="40" t="s">
        <v>21</v>
      </c>
      <c r="Q168" s="40" t="s">
        <v>22</v>
      </c>
      <c r="R168" s="40" t="s">
        <v>23</v>
      </c>
      <c r="S168" s="23" t="s">
        <v>24</v>
      </c>
      <c r="T168" s="23" t="s">
        <v>25</v>
      </c>
    </row>
    <row r="169" spans="1:20" ht="51.75" customHeight="1" x14ac:dyDescent="0.25">
      <c r="A169" s="93" t="s">
        <v>75</v>
      </c>
      <c r="B169" s="17"/>
      <c r="C169" s="135" t="s">
        <v>76</v>
      </c>
      <c r="D169" s="19"/>
      <c r="E169" s="30">
        <v>2025</v>
      </c>
      <c r="F169" s="27">
        <v>3000</v>
      </c>
      <c r="G169" s="22"/>
      <c r="H169" s="22">
        <v>36000</v>
      </c>
      <c r="I169" s="136"/>
      <c r="J169" s="22"/>
      <c r="K169" s="22"/>
      <c r="L169" s="22"/>
      <c r="M169" s="22"/>
      <c r="N169" s="22"/>
      <c r="O169" s="22"/>
      <c r="P169" s="22"/>
      <c r="Q169" s="22"/>
      <c r="R169" s="22"/>
      <c r="S169" s="37">
        <f>SUM(G169:R169)</f>
        <v>36000</v>
      </c>
      <c r="T169" s="29">
        <f>SUM(F169*IF(E169=_current_year,_current_month-3,9)-(S169))</f>
        <v>-9000</v>
      </c>
    </row>
    <row r="170" spans="1:20" ht="36.75" customHeight="1" x14ac:dyDescent="0.4">
      <c r="A170" s="93"/>
      <c r="B170" s="33" t="s">
        <v>28</v>
      </c>
      <c r="C170" s="34"/>
      <c r="D170" s="35"/>
      <c r="E170" s="90"/>
      <c r="F170" s="91"/>
      <c r="G170" s="91"/>
      <c r="H170" s="91"/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91"/>
      <c r="T170" s="137"/>
    </row>
    <row r="171" spans="1:20" ht="59.25" customHeight="1" x14ac:dyDescent="0.4">
      <c r="A171" s="93"/>
      <c r="B171" s="33" t="s">
        <v>28</v>
      </c>
      <c r="C171" s="80" t="s">
        <v>52</v>
      </c>
      <c r="D171" s="80"/>
      <c r="E171" s="111"/>
      <c r="F171" s="92"/>
      <c r="G171" s="92"/>
      <c r="H171" s="92"/>
      <c r="I171" s="92"/>
      <c r="J171" s="92"/>
      <c r="K171" s="92"/>
      <c r="L171" s="92"/>
      <c r="M171" s="92"/>
      <c r="N171" s="92"/>
      <c r="O171" s="92"/>
      <c r="P171" s="92"/>
      <c r="Q171" s="92"/>
      <c r="R171" s="92"/>
      <c r="S171" s="92"/>
      <c r="T171" s="112"/>
    </row>
    <row r="172" spans="1:20" ht="36.75" customHeight="1" x14ac:dyDescent="0.4">
      <c r="A172" s="41" t="s">
        <v>30</v>
      </c>
      <c r="B172" s="14"/>
      <c r="C172" s="80"/>
      <c r="D172" s="80"/>
      <c r="E172" s="111"/>
      <c r="F172" s="92"/>
      <c r="G172" s="92"/>
      <c r="H172" s="92"/>
      <c r="I172" s="92"/>
      <c r="J172" s="92"/>
      <c r="K172" s="92"/>
      <c r="L172" s="92"/>
      <c r="M172" s="92"/>
      <c r="N172" s="92"/>
      <c r="O172" s="92"/>
      <c r="P172" s="92"/>
      <c r="Q172" s="92"/>
      <c r="R172" s="92"/>
      <c r="S172" s="92"/>
      <c r="T172" s="112"/>
    </row>
    <row r="173" spans="1:20" ht="36.75" customHeight="1" x14ac:dyDescent="0.4">
      <c r="A173" s="41"/>
      <c r="B173" s="14"/>
      <c r="C173" s="80"/>
      <c r="D173" s="80"/>
      <c r="E173" s="113"/>
      <c r="F173" s="114"/>
      <c r="G173" s="114"/>
      <c r="H173" s="114"/>
      <c r="I173" s="114"/>
      <c r="J173" s="114"/>
      <c r="K173" s="114"/>
      <c r="L173" s="114"/>
      <c r="M173" s="114"/>
      <c r="N173" s="114"/>
      <c r="O173" s="114"/>
      <c r="P173" s="114"/>
      <c r="Q173" s="114"/>
      <c r="R173" s="114"/>
      <c r="S173" s="114"/>
      <c r="T173" s="115"/>
    </row>
    <row r="174" spans="1:20" ht="37.5" thickBot="1" x14ac:dyDescent="0.45">
      <c r="A174" s="13"/>
      <c r="B174" s="14"/>
      <c r="C174" s="80"/>
      <c r="D174" s="80"/>
      <c r="E174" s="49"/>
      <c r="F174" s="50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138">
        <f>SUM(S169:S173)</f>
        <v>36000</v>
      </c>
      <c r="T174" s="87">
        <f>SUM(T169:T173)</f>
        <v>-9000</v>
      </c>
    </row>
    <row r="175" spans="1:20" ht="36.75" x14ac:dyDescent="0.45">
      <c r="A175" s="13"/>
      <c r="B175" s="14"/>
      <c r="C175" s="14"/>
      <c r="D175" s="15"/>
      <c r="E175" s="14"/>
      <c r="F175" s="16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8"/>
      <c r="T175" s="8"/>
    </row>
    <row r="176" spans="1:20" ht="36.75" x14ac:dyDescent="0.45">
      <c r="A176" s="13"/>
      <c r="B176" s="14"/>
      <c r="C176" s="14"/>
      <c r="D176" s="15"/>
      <c r="E176" s="14"/>
      <c r="F176" s="16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8"/>
      <c r="T176" s="8"/>
    </row>
    <row r="177" spans="1:20" ht="60" customHeight="1" x14ac:dyDescent="0.25">
      <c r="A177" s="54" t="s">
        <v>31</v>
      </c>
      <c r="B177" s="55" t="s">
        <v>7</v>
      </c>
      <c r="C177" s="30" t="s">
        <v>32</v>
      </c>
      <c r="D177" s="30" t="s">
        <v>33</v>
      </c>
      <c r="E177" s="30" t="s">
        <v>34</v>
      </c>
      <c r="F177" s="21" t="s">
        <v>11</v>
      </c>
      <c r="G177" s="40" t="s">
        <v>12</v>
      </c>
      <c r="H177" s="40" t="s">
        <v>13</v>
      </c>
      <c r="I177" s="40" t="s">
        <v>14</v>
      </c>
      <c r="J177" s="40" t="s">
        <v>15</v>
      </c>
      <c r="K177" s="40" t="s">
        <v>16</v>
      </c>
      <c r="L177" s="40" t="s">
        <v>17</v>
      </c>
      <c r="M177" s="40" t="s">
        <v>18</v>
      </c>
      <c r="N177" s="40" t="s">
        <v>19</v>
      </c>
      <c r="O177" s="40" t="s">
        <v>20</v>
      </c>
      <c r="P177" s="40" t="s">
        <v>21</v>
      </c>
      <c r="Q177" s="40" t="s">
        <v>22</v>
      </c>
      <c r="R177" s="40" t="s">
        <v>23</v>
      </c>
      <c r="S177" s="23" t="s">
        <v>24</v>
      </c>
      <c r="T177" s="23" t="s">
        <v>25</v>
      </c>
    </row>
    <row r="178" spans="1:20" ht="51.75" customHeight="1" x14ac:dyDescent="0.25">
      <c r="A178" s="139" t="s">
        <v>77</v>
      </c>
      <c r="B178" s="17"/>
      <c r="C178" s="56" t="s">
        <v>78</v>
      </c>
      <c r="D178" s="19" t="str">
        <f>C178</f>
        <v>GODSON UZOCHUKWU UKACHI</v>
      </c>
      <c r="E178" s="30">
        <v>2025</v>
      </c>
      <c r="F178" s="27">
        <v>3000</v>
      </c>
      <c r="G178" s="136">
        <v>30000</v>
      </c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37">
        <f>SUM(G178:R178)</f>
        <v>30000</v>
      </c>
      <c r="T178" s="29">
        <f>SUM(F178*IF(E178=_current_year,_current_month-1,11)-(S178))</f>
        <v>3000</v>
      </c>
    </row>
    <row r="179" spans="1:20" ht="36.75" customHeight="1" x14ac:dyDescent="0.4">
      <c r="A179" s="139"/>
      <c r="B179" s="33" t="s">
        <v>28</v>
      </c>
      <c r="C179" s="122"/>
      <c r="D179" s="35"/>
      <c r="E179" s="90"/>
      <c r="F179" s="91"/>
      <c r="G179" s="91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137"/>
    </row>
    <row r="180" spans="1:20" ht="59.25" customHeight="1" x14ac:dyDescent="0.4">
      <c r="A180" s="139"/>
      <c r="B180" s="33" t="s">
        <v>28</v>
      </c>
      <c r="C180" s="80" t="s">
        <v>52</v>
      </c>
      <c r="D180" s="80"/>
      <c r="E180" s="111"/>
      <c r="F180" s="92"/>
      <c r="G180" s="92"/>
      <c r="H180" s="92"/>
      <c r="I180" s="92"/>
      <c r="J180" s="92"/>
      <c r="K180" s="92"/>
      <c r="L180" s="92"/>
      <c r="M180" s="92"/>
      <c r="N180" s="92"/>
      <c r="O180" s="92"/>
      <c r="P180" s="92"/>
      <c r="Q180" s="92"/>
      <c r="R180" s="92"/>
      <c r="S180" s="92"/>
      <c r="T180" s="112"/>
    </row>
    <row r="181" spans="1:20" ht="36.75" customHeight="1" x14ac:dyDescent="0.4">
      <c r="A181" s="41" t="s">
        <v>30</v>
      </c>
      <c r="B181" s="14"/>
      <c r="C181" s="80"/>
      <c r="D181" s="80"/>
      <c r="E181" s="111"/>
      <c r="F181" s="92"/>
      <c r="G181" s="92"/>
      <c r="H181" s="92"/>
      <c r="I181" s="92"/>
      <c r="J181" s="92"/>
      <c r="K181" s="92"/>
      <c r="L181" s="92"/>
      <c r="M181" s="92"/>
      <c r="N181" s="92"/>
      <c r="O181" s="92"/>
      <c r="P181" s="92"/>
      <c r="Q181" s="92"/>
      <c r="R181" s="92"/>
      <c r="S181" s="92"/>
      <c r="T181" s="112"/>
    </row>
    <row r="182" spans="1:20" ht="36.75" customHeight="1" x14ac:dyDescent="0.4">
      <c r="A182" s="41"/>
      <c r="B182" s="14"/>
      <c r="C182" s="80"/>
      <c r="D182" s="80"/>
      <c r="E182" s="113"/>
      <c r="F182" s="114"/>
      <c r="G182" s="114"/>
      <c r="H182" s="114"/>
      <c r="I182" s="114"/>
      <c r="J182" s="114"/>
      <c r="K182" s="114"/>
      <c r="L182" s="114"/>
      <c r="M182" s="114"/>
      <c r="N182" s="114"/>
      <c r="O182" s="114"/>
      <c r="P182" s="114"/>
      <c r="Q182" s="114"/>
      <c r="R182" s="114"/>
      <c r="S182" s="114"/>
      <c r="T182" s="115"/>
    </row>
    <row r="183" spans="1:20" ht="37.5" thickBot="1" x14ac:dyDescent="0.45">
      <c r="A183" s="13"/>
      <c r="B183" s="14"/>
      <c r="C183" s="80"/>
      <c r="D183" s="80"/>
      <c r="E183" s="49"/>
      <c r="F183" s="50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138">
        <f>SUM(S178:S182)</f>
        <v>30000</v>
      </c>
      <c r="T183" s="87">
        <f>SUM(T178:T182)</f>
        <v>3000</v>
      </c>
    </row>
    <row r="184" spans="1:20" ht="36.75" x14ac:dyDescent="0.45">
      <c r="A184" s="13"/>
      <c r="B184" s="14"/>
      <c r="C184" s="14"/>
      <c r="D184" s="15"/>
      <c r="E184" s="14"/>
      <c r="F184" s="16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8"/>
      <c r="T184" s="8"/>
    </row>
    <row r="185" spans="1:20" ht="60" customHeight="1" x14ac:dyDescent="0.25">
      <c r="A185" s="54" t="s">
        <v>31</v>
      </c>
      <c r="B185" s="55" t="s">
        <v>7</v>
      </c>
      <c r="C185" s="30" t="s">
        <v>32</v>
      </c>
      <c r="D185" s="30" t="s">
        <v>33</v>
      </c>
      <c r="E185" s="30" t="s">
        <v>34</v>
      </c>
      <c r="F185" s="21" t="s">
        <v>11</v>
      </c>
      <c r="G185" s="40" t="s">
        <v>12</v>
      </c>
      <c r="H185" s="40" t="s">
        <v>13</v>
      </c>
      <c r="I185" s="40" t="s">
        <v>14</v>
      </c>
      <c r="J185" s="40" t="s">
        <v>15</v>
      </c>
      <c r="K185" s="40" t="s">
        <v>16</v>
      </c>
      <c r="L185" s="40" t="s">
        <v>17</v>
      </c>
      <c r="M185" s="40" t="s">
        <v>18</v>
      </c>
      <c r="N185" s="40" t="s">
        <v>19</v>
      </c>
      <c r="O185" s="40" t="s">
        <v>20</v>
      </c>
      <c r="P185" s="40" t="s">
        <v>21</v>
      </c>
      <c r="Q185" s="40" t="s">
        <v>22</v>
      </c>
      <c r="R185" s="40" t="s">
        <v>23</v>
      </c>
      <c r="S185" s="23" t="s">
        <v>24</v>
      </c>
      <c r="T185" s="23" t="s">
        <v>25</v>
      </c>
    </row>
    <row r="186" spans="1:20" ht="51.75" customHeight="1" x14ac:dyDescent="0.25">
      <c r="A186" s="93" t="s">
        <v>79</v>
      </c>
      <c r="B186" s="17"/>
      <c r="C186" s="56"/>
      <c r="D186" s="19"/>
      <c r="E186" s="26">
        <v>2025</v>
      </c>
      <c r="F186" s="27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64">
        <f t="shared" ref="S186:S192" si="10">SUM(G186:R186)</f>
        <v>0</v>
      </c>
      <c r="T186" s="29">
        <f>SUM(F186*IF(E186=_current_year,_current_month,12)-(S186))</f>
        <v>0</v>
      </c>
    </row>
    <row r="187" spans="1:20" ht="51.75" customHeight="1" x14ac:dyDescent="0.25">
      <c r="A187" s="93"/>
      <c r="B187" s="17"/>
      <c r="C187" s="56"/>
      <c r="D187" s="19"/>
      <c r="E187" s="30">
        <v>2024</v>
      </c>
      <c r="F187" s="27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37">
        <f t="shared" si="10"/>
        <v>0</v>
      </c>
      <c r="T187" s="22">
        <f>SUM(F187*IF(E187=_current_year,_current_month,12)-(S187))</f>
        <v>0</v>
      </c>
    </row>
    <row r="188" spans="1:20" ht="51.75" customHeight="1" x14ac:dyDescent="0.25">
      <c r="A188" s="93"/>
      <c r="B188" s="17"/>
      <c r="C188" s="56"/>
      <c r="D188" s="19"/>
      <c r="E188" s="30">
        <v>2023</v>
      </c>
      <c r="F188" s="27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37">
        <f t="shared" si="10"/>
        <v>0</v>
      </c>
      <c r="T188" s="22">
        <f>SUM(F188*12)-(S188)</f>
        <v>0</v>
      </c>
    </row>
    <row r="189" spans="1:20" ht="36.75" customHeight="1" x14ac:dyDescent="0.4">
      <c r="A189" s="93"/>
      <c r="B189" s="33" t="s">
        <v>28</v>
      </c>
      <c r="C189" s="34"/>
      <c r="D189" s="35"/>
      <c r="E189" s="30">
        <v>2022</v>
      </c>
      <c r="F189" s="27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7">
        <f t="shared" si="10"/>
        <v>0</v>
      </c>
      <c r="T189" s="22">
        <f t="shared" ref="T189:T193" si="11">SUM(F189*12)-(S189)</f>
        <v>0</v>
      </c>
    </row>
    <row r="190" spans="1:20" ht="36.75" customHeight="1" x14ac:dyDescent="0.4">
      <c r="A190" s="93"/>
      <c r="B190" s="33" t="s">
        <v>28</v>
      </c>
      <c r="C190" s="80" t="s">
        <v>52</v>
      </c>
      <c r="D190" s="80"/>
      <c r="E190" s="30">
        <v>2021</v>
      </c>
      <c r="F190" s="27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7">
        <f t="shared" si="10"/>
        <v>0</v>
      </c>
      <c r="T190" s="22">
        <f t="shared" si="11"/>
        <v>0</v>
      </c>
    </row>
    <row r="191" spans="1:20" ht="36.75" customHeight="1" x14ac:dyDescent="0.4">
      <c r="A191" s="41" t="s">
        <v>30</v>
      </c>
      <c r="B191" s="14" t="s">
        <v>80</v>
      </c>
      <c r="C191" s="80"/>
      <c r="D191" s="80"/>
      <c r="E191" s="30">
        <v>2020</v>
      </c>
      <c r="F191" s="27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7">
        <f t="shared" si="10"/>
        <v>0</v>
      </c>
      <c r="T191" s="22">
        <f t="shared" si="11"/>
        <v>0</v>
      </c>
    </row>
    <row r="192" spans="1:20" ht="36.75" customHeight="1" x14ac:dyDescent="0.4">
      <c r="A192" s="41"/>
      <c r="B192" s="14"/>
      <c r="C192" s="80"/>
      <c r="D192" s="80"/>
      <c r="E192" s="30">
        <v>2019</v>
      </c>
      <c r="F192" s="27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7">
        <f t="shared" si="10"/>
        <v>0</v>
      </c>
      <c r="T192" s="22">
        <f t="shared" si="11"/>
        <v>0</v>
      </c>
    </row>
    <row r="193" spans="1:20" ht="36.75" customHeight="1" x14ac:dyDescent="0.4">
      <c r="A193" s="140"/>
      <c r="B193" s="14"/>
      <c r="C193" s="80"/>
      <c r="D193" s="80"/>
      <c r="E193" s="30">
        <v>2018</v>
      </c>
      <c r="F193" s="27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7">
        <f>SUM(J193:R193)</f>
        <v>0</v>
      </c>
      <c r="T193" s="22">
        <f t="shared" si="11"/>
        <v>0</v>
      </c>
    </row>
    <row r="194" spans="1:20" ht="37.5" thickBot="1" x14ac:dyDescent="0.45">
      <c r="A194" s="13"/>
      <c r="B194" s="14"/>
      <c r="C194" s="80"/>
      <c r="D194" s="80"/>
      <c r="E194" s="49"/>
      <c r="F194" s="50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99">
        <f>SUM(S186:S193)</f>
        <v>0</v>
      </c>
      <c r="T194" s="87">
        <f>SUM(T186:T193)</f>
        <v>0</v>
      </c>
    </row>
    <row r="195" spans="1:20" ht="36.75" x14ac:dyDescent="0.45">
      <c r="A195" s="13"/>
      <c r="B195" s="14"/>
      <c r="C195" s="14"/>
      <c r="D195" s="15"/>
      <c r="E195" s="14"/>
      <c r="F195" s="16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8"/>
      <c r="T195" s="8"/>
    </row>
    <row r="196" spans="1:20" ht="60" customHeight="1" x14ac:dyDescent="0.25">
      <c r="A196" s="54" t="s">
        <v>31</v>
      </c>
      <c r="B196" s="55" t="s">
        <v>7</v>
      </c>
      <c r="C196" s="30" t="s">
        <v>32</v>
      </c>
      <c r="D196" s="30" t="s">
        <v>33</v>
      </c>
      <c r="E196" s="30" t="s">
        <v>34</v>
      </c>
      <c r="F196" s="21" t="s">
        <v>11</v>
      </c>
      <c r="G196" s="40" t="s">
        <v>12</v>
      </c>
      <c r="H196" s="40" t="s">
        <v>13</v>
      </c>
      <c r="I196" s="40" t="s">
        <v>14</v>
      </c>
      <c r="J196" s="40" t="s">
        <v>15</v>
      </c>
      <c r="K196" s="40" t="s">
        <v>16</v>
      </c>
      <c r="L196" s="40" t="s">
        <v>17</v>
      </c>
      <c r="M196" s="40" t="s">
        <v>18</v>
      </c>
      <c r="N196" s="40" t="s">
        <v>19</v>
      </c>
      <c r="O196" s="40" t="s">
        <v>20</v>
      </c>
      <c r="P196" s="40" t="s">
        <v>21</v>
      </c>
      <c r="Q196" s="40" t="s">
        <v>22</v>
      </c>
      <c r="R196" s="40" t="s">
        <v>23</v>
      </c>
      <c r="S196" s="23" t="s">
        <v>24</v>
      </c>
      <c r="T196" s="23" t="s">
        <v>25</v>
      </c>
    </row>
    <row r="197" spans="1:20" ht="51.75" customHeight="1" x14ac:dyDescent="0.25">
      <c r="A197" s="93" t="s">
        <v>81</v>
      </c>
      <c r="B197" s="17"/>
      <c r="C197" s="56" t="s">
        <v>82</v>
      </c>
      <c r="D197" s="19"/>
      <c r="E197" s="26">
        <v>2025</v>
      </c>
      <c r="F197" s="27">
        <v>3000</v>
      </c>
      <c r="G197" s="22"/>
      <c r="H197" s="22">
        <v>15000</v>
      </c>
      <c r="I197" s="22"/>
      <c r="J197" s="22"/>
      <c r="K197" s="22">
        <v>3000</v>
      </c>
      <c r="L197" s="22"/>
      <c r="M197" s="22">
        <v>9000</v>
      </c>
      <c r="N197" s="22"/>
      <c r="O197" s="22"/>
      <c r="P197" s="22"/>
      <c r="Q197" s="22"/>
      <c r="R197" s="22"/>
      <c r="S197" s="64">
        <f t="shared" ref="S197:S204" si="12">SUM(G197:R197)</f>
        <v>27000</v>
      </c>
      <c r="T197" s="29">
        <f>SUM(F197*IF(E197=_current_year,_current_month,12)-(S197))</f>
        <v>9000</v>
      </c>
    </row>
    <row r="198" spans="1:20" ht="51.75" customHeight="1" x14ac:dyDescent="0.25">
      <c r="A198" s="93"/>
      <c r="B198" s="17"/>
      <c r="C198" s="56"/>
      <c r="D198" s="19"/>
      <c r="E198" s="141">
        <v>2024</v>
      </c>
      <c r="F198" s="27">
        <v>3000</v>
      </c>
      <c r="G198" s="22"/>
      <c r="H198" s="22">
        <v>9000</v>
      </c>
      <c r="I198" s="22"/>
      <c r="J198" s="22">
        <v>9000</v>
      </c>
      <c r="K198" s="22"/>
      <c r="L198" s="22"/>
      <c r="M198" s="22">
        <v>9000</v>
      </c>
      <c r="N198" s="22"/>
      <c r="O198" s="22">
        <v>32000</v>
      </c>
      <c r="P198" s="22"/>
      <c r="Q198" s="22">
        <v>20000</v>
      </c>
      <c r="R198" s="22"/>
      <c r="S198" s="37">
        <f t="shared" si="12"/>
        <v>79000</v>
      </c>
      <c r="T198" s="22">
        <f t="shared" ref="T198:T203" si="13">SUM(F198*IF(E198=_current_year,_current_month,12)-(S198))</f>
        <v>-43000</v>
      </c>
    </row>
    <row r="199" spans="1:20" ht="51.75" customHeight="1" x14ac:dyDescent="0.25">
      <c r="A199" s="93"/>
      <c r="B199" s="17"/>
      <c r="C199" s="56"/>
      <c r="D199" s="19"/>
      <c r="E199" s="30">
        <v>2023</v>
      </c>
      <c r="F199" s="27">
        <v>1000</v>
      </c>
      <c r="G199" s="22">
        <v>3000</v>
      </c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37">
        <f t="shared" si="12"/>
        <v>3000</v>
      </c>
      <c r="T199" s="22">
        <f t="shared" si="13"/>
        <v>9000</v>
      </c>
    </row>
    <row r="200" spans="1:20" ht="36.75" customHeight="1" x14ac:dyDescent="0.4">
      <c r="A200" s="93"/>
      <c r="B200" s="33" t="s">
        <v>28</v>
      </c>
      <c r="C200" s="65" t="s">
        <v>83</v>
      </c>
      <c r="D200" s="35"/>
      <c r="E200" s="30">
        <v>2022</v>
      </c>
      <c r="F200" s="27">
        <v>1000</v>
      </c>
      <c r="G200" s="36">
        <v>1000</v>
      </c>
      <c r="H200" s="36"/>
      <c r="I200" s="36"/>
      <c r="J200" s="36"/>
      <c r="K200" s="36"/>
      <c r="L200" s="36">
        <v>3000</v>
      </c>
      <c r="M200" s="36"/>
      <c r="N200" s="36">
        <v>2000</v>
      </c>
      <c r="O200" s="36"/>
      <c r="P200" s="36"/>
      <c r="Q200" s="36"/>
      <c r="R200" s="36"/>
      <c r="S200" s="37">
        <f t="shared" si="12"/>
        <v>6000</v>
      </c>
      <c r="T200" s="22">
        <f t="shared" si="13"/>
        <v>6000</v>
      </c>
    </row>
    <row r="201" spans="1:20" ht="36.75" customHeight="1" x14ac:dyDescent="0.4">
      <c r="A201" s="93"/>
      <c r="B201" s="33" t="s">
        <v>28</v>
      </c>
      <c r="C201" s="142"/>
      <c r="D201" s="35"/>
      <c r="E201" s="143">
        <v>2021</v>
      </c>
      <c r="F201" s="144">
        <v>1000</v>
      </c>
      <c r="G201" s="145"/>
      <c r="H201" s="145"/>
      <c r="I201" s="145">
        <v>3000</v>
      </c>
      <c r="J201" s="145"/>
      <c r="K201" s="145"/>
      <c r="L201" s="145"/>
      <c r="M201" s="145"/>
      <c r="N201" s="145"/>
      <c r="O201" s="145"/>
      <c r="P201" s="36"/>
      <c r="Q201" s="36"/>
      <c r="R201" s="36"/>
      <c r="S201" s="37">
        <f t="shared" si="12"/>
        <v>3000</v>
      </c>
      <c r="T201" s="22">
        <f t="shared" si="13"/>
        <v>9000</v>
      </c>
    </row>
    <row r="202" spans="1:20" ht="36.75" customHeight="1" x14ac:dyDescent="0.4">
      <c r="A202" s="41" t="s">
        <v>30</v>
      </c>
      <c r="B202" s="14" t="s">
        <v>68</v>
      </c>
      <c r="C202" s="146"/>
      <c r="D202" s="147" t="s">
        <v>84</v>
      </c>
      <c r="E202" s="30">
        <v>2020</v>
      </c>
      <c r="F202" s="27">
        <v>1000</v>
      </c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7">
        <f t="shared" si="12"/>
        <v>0</v>
      </c>
      <c r="T202" s="22">
        <f t="shared" si="13"/>
        <v>12000</v>
      </c>
    </row>
    <row r="203" spans="1:20" ht="36.75" customHeight="1" x14ac:dyDescent="0.4">
      <c r="A203" s="41"/>
      <c r="B203" s="14"/>
      <c r="C203" s="38" t="s">
        <v>52</v>
      </c>
      <c r="D203" s="38"/>
      <c r="E203" s="30">
        <v>2019</v>
      </c>
      <c r="F203" s="27">
        <v>1000</v>
      </c>
      <c r="G203" s="36"/>
      <c r="H203" s="36"/>
      <c r="I203" s="36"/>
      <c r="J203" s="36"/>
      <c r="K203" s="36">
        <v>5000</v>
      </c>
      <c r="L203" s="36">
        <v>3000</v>
      </c>
      <c r="M203" s="36"/>
      <c r="N203" s="36"/>
      <c r="O203" s="36"/>
      <c r="P203" s="36"/>
      <c r="Q203" s="36"/>
      <c r="R203" s="36"/>
      <c r="S203" s="148">
        <f t="shared" si="12"/>
        <v>8000</v>
      </c>
      <c r="T203" s="22">
        <f t="shared" si="13"/>
        <v>4000</v>
      </c>
    </row>
    <row r="204" spans="1:20" ht="36.75" customHeight="1" x14ac:dyDescent="0.4">
      <c r="A204" s="140"/>
      <c r="B204" s="14"/>
      <c r="C204" s="38"/>
      <c r="D204" s="38"/>
      <c r="E204" s="30">
        <v>2018</v>
      </c>
      <c r="F204" s="27">
        <v>1000</v>
      </c>
      <c r="G204" s="149"/>
      <c r="H204" s="150"/>
      <c r="I204" s="150"/>
      <c r="J204" s="150"/>
      <c r="K204" s="150"/>
      <c r="L204" s="150"/>
      <c r="M204" s="150"/>
      <c r="N204" s="150"/>
      <c r="O204" s="151"/>
      <c r="P204" s="60">
        <v>1000</v>
      </c>
      <c r="Q204" s="36">
        <v>1000</v>
      </c>
      <c r="R204" s="36">
        <v>1000</v>
      </c>
      <c r="S204" s="148">
        <f t="shared" si="12"/>
        <v>3000</v>
      </c>
      <c r="T204" s="22">
        <f>SUM(6000-S204)</f>
        <v>3000</v>
      </c>
    </row>
    <row r="205" spans="1:20" ht="37.5" thickBot="1" x14ac:dyDescent="0.45">
      <c r="A205" s="13"/>
      <c r="B205" s="14"/>
      <c r="C205" s="14"/>
      <c r="D205" s="15"/>
      <c r="E205" s="49"/>
      <c r="F205" s="50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152">
        <f>SUM(S197:S204)</f>
        <v>129000</v>
      </c>
      <c r="T205" s="87">
        <f>SUM(T197:T204)</f>
        <v>9000</v>
      </c>
    </row>
    <row r="206" spans="1:20" ht="36.75" x14ac:dyDescent="0.4">
      <c r="A206" s="13"/>
      <c r="B206" s="14"/>
      <c r="C206" s="14"/>
      <c r="D206" s="15"/>
      <c r="E206" s="49"/>
      <c r="F206" s="132"/>
      <c r="G206" s="104"/>
      <c r="H206" s="104"/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105"/>
      <c r="T206" s="105"/>
    </row>
    <row r="207" spans="1:20" ht="36.75" x14ac:dyDescent="0.45">
      <c r="A207" s="13"/>
      <c r="B207" s="14"/>
      <c r="C207" s="14"/>
      <c r="D207" s="15"/>
      <c r="E207" s="14"/>
      <c r="F207" s="16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8"/>
      <c r="T207" s="8"/>
    </row>
    <row r="208" spans="1:20" ht="60" customHeight="1" x14ac:dyDescent="0.25">
      <c r="A208" s="55" t="s">
        <v>31</v>
      </c>
      <c r="B208" s="55" t="s">
        <v>7</v>
      </c>
      <c r="C208" s="30" t="s">
        <v>32</v>
      </c>
      <c r="D208" s="30" t="s">
        <v>33</v>
      </c>
      <c r="E208" s="30" t="s">
        <v>34</v>
      </c>
      <c r="F208" s="21" t="s">
        <v>11</v>
      </c>
      <c r="G208" s="40" t="s">
        <v>12</v>
      </c>
      <c r="H208" s="40" t="s">
        <v>13</v>
      </c>
      <c r="I208" s="40" t="s">
        <v>14</v>
      </c>
      <c r="J208" s="40" t="s">
        <v>15</v>
      </c>
      <c r="K208" s="40" t="s">
        <v>16</v>
      </c>
      <c r="L208" s="40" t="s">
        <v>17</v>
      </c>
      <c r="M208" s="40" t="s">
        <v>18</v>
      </c>
      <c r="N208" s="40" t="s">
        <v>19</v>
      </c>
      <c r="O208" s="40" t="s">
        <v>20</v>
      </c>
      <c r="P208" s="40" t="s">
        <v>21</v>
      </c>
      <c r="Q208" s="40" t="s">
        <v>22</v>
      </c>
      <c r="R208" s="40" t="s">
        <v>23</v>
      </c>
      <c r="S208" s="23" t="s">
        <v>24</v>
      </c>
      <c r="T208" s="23" t="s">
        <v>25</v>
      </c>
    </row>
    <row r="209" spans="1:20" ht="51.75" customHeight="1" x14ac:dyDescent="0.25">
      <c r="A209" s="24">
        <v>14</v>
      </c>
      <c r="B209" s="17"/>
      <c r="C209" s="56" t="s">
        <v>85</v>
      </c>
      <c r="D209" s="19"/>
      <c r="E209" s="26">
        <v>2025</v>
      </c>
      <c r="F209" s="27">
        <v>10000</v>
      </c>
      <c r="G209" s="22"/>
      <c r="H209" s="22"/>
      <c r="I209" s="22"/>
      <c r="J209" s="22"/>
      <c r="K209" s="22">
        <v>160000</v>
      </c>
      <c r="L209" s="22"/>
      <c r="M209" s="22"/>
      <c r="N209" s="153"/>
      <c r="O209" s="22"/>
      <c r="P209" s="22"/>
      <c r="Q209" s="22"/>
      <c r="R209" s="22"/>
      <c r="S209" s="64">
        <f t="shared" ref="S209:S219" si="14">SUM(G209:R209)</f>
        <v>160000</v>
      </c>
      <c r="T209" s="29">
        <f>SUM(F209*IF(E209=_current_year,_current_month,12)-(S209))</f>
        <v>-40000</v>
      </c>
    </row>
    <row r="210" spans="1:20" ht="51.75" customHeight="1" x14ac:dyDescent="0.25">
      <c r="A210" s="24"/>
      <c r="B210" s="17"/>
      <c r="C210" s="56"/>
      <c r="D210" s="19"/>
      <c r="E210" s="30">
        <v>2024</v>
      </c>
      <c r="F210" s="27">
        <v>5000</v>
      </c>
      <c r="G210" s="22"/>
      <c r="H210" s="22">
        <v>120000</v>
      </c>
      <c r="I210" s="22"/>
      <c r="J210" s="22">
        <v>150000</v>
      </c>
      <c r="K210" s="22"/>
      <c r="L210" s="22"/>
      <c r="M210" s="22"/>
      <c r="N210" s="22"/>
      <c r="O210" s="22"/>
      <c r="P210" s="22"/>
      <c r="Q210" s="22"/>
      <c r="R210" s="22"/>
      <c r="S210" s="37">
        <f t="shared" si="14"/>
        <v>270000</v>
      </c>
      <c r="T210" s="22">
        <f>SUM(F210*IF(E210=_current_year,_current_month,12)-(S210))</f>
        <v>-210000</v>
      </c>
    </row>
    <row r="211" spans="1:20" ht="51.75" customHeight="1" x14ac:dyDescent="0.25">
      <c r="A211" s="24"/>
      <c r="B211" s="17"/>
      <c r="C211" s="56"/>
      <c r="D211" s="19"/>
      <c r="E211" s="30">
        <v>2023</v>
      </c>
      <c r="F211" s="27">
        <v>5000</v>
      </c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37">
        <f t="shared" si="14"/>
        <v>0</v>
      </c>
      <c r="T211" s="22">
        <f>SUM(F211*12)-(S211)</f>
        <v>60000</v>
      </c>
    </row>
    <row r="212" spans="1:20" ht="59.25" customHeight="1" x14ac:dyDescent="0.4">
      <c r="A212" s="24"/>
      <c r="B212" s="33" t="s">
        <v>28</v>
      </c>
      <c r="C212" s="154" t="s">
        <v>86</v>
      </c>
      <c r="D212" s="35"/>
      <c r="E212" s="30">
        <v>2022</v>
      </c>
      <c r="F212" s="27">
        <v>5000</v>
      </c>
      <c r="G212" s="36"/>
      <c r="H212" s="36"/>
      <c r="I212" s="36"/>
      <c r="J212" s="36"/>
      <c r="K212" s="36"/>
      <c r="L212" s="36"/>
      <c r="M212" s="36"/>
      <c r="N212" s="36">
        <v>60000</v>
      </c>
      <c r="O212" s="36"/>
      <c r="P212" s="36"/>
      <c r="Q212" s="36"/>
      <c r="R212" s="36"/>
      <c r="S212" s="37">
        <f t="shared" si="14"/>
        <v>60000</v>
      </c>
      <c r="T212" s="37">
        <f t="shared" ref="T212:T219" si="15">SUM(60000-S212)</f>
        <v>0</v>
      </c>
    </row>
    <row r="213" spans="1:20" ht="59.25" customHeight="1" x14ac:dyDescent="0.4">
      <c r="A213" s="24"/>
      <c r="B213" s="33" t="s">
        <v>28</v>
      </c>
      <c r="C213" s="155"/>
      <c r="D213" s="81"/>
      <c r="E213" s="30">
        <v>2021</v>
      </c>
      <c r="F213" s="27">
        <v>5000</v>
      </c>
      <c r="G213" s="36"/>
      <c r="H213" s="36"/>
      <c r="I213" s="36"/>
      <c r="J213" s="36"/>
      <c r="K213" s="36"/>
      <c r="L213" s="36"/>
      <c r="M213" s="36"/>
      <c r="N213" s="36"/>
      <c r="O213" s="36"/>
      <c r="P213" s="36">
        <v>60000</v>
      </c>
      <c r="Q213" s="36"/>
      <c r="R213" s="36"/>
      <c r="S213" s="37">
        <f t="shared" si="14"/>
        <v>60000</v>
      </c>
      <c r="T213" s="37">
        <f t="shared" si="15"/>
        <v>0</v>
      </c>
    </row>
    <row r="214" spans="1:20" ht="36.75" customHeight="1" x14ac:dyDescent="0.4">
      <c r="A214" s="24"/>
      <c r="B214" s="14" t="s">
        <v>28</v>
      </c>
      <c r="C214" s="133" t="s">
        <v>52</v>
      </c>
      <c r="D214" s="81"/>
      <c r="E214" s="30">
        <v>2020</v>
      </c>
      <c r="F214" s="27">
        <v>5000</v>
      </c>
      <c r="G214" s="36"/>
      <c r="H214" s="36"/>
      <c r="I214" s="36"/>
      <c r="J214" s="36"/>
      <c r="K214" s="36"/>
      <c r="L214" s="36"/>
      <c r="M214" s="36"/>
      <c r="N214" s="36"/>
      <c r="O214" s="36"/>
      <c r="P214" s="36" t="s">
        <v>59</v>
      </c>
      <c r="Q214" s="36"/>
      <c r="R214" s="36"/>
      <c r="S214" s="37">
        <f t="shared" si="14"/>
        <v>0</v>
      </c>
      <c r="T214" s="37">
        <f t="shared" si="15"/>
        <v>60000</v>
      </c>
    </row>
    <row r="215" spans="1:20" ht="36.75" customHeight="1" x14ac:dyDescent="0.4">
      <c r="A215" s="24"/>
      <c r="B215" s="14"/>
      <c r="C215" s="134"/>
      <c r="D215" s="81"/>
      <c r="E215" s="30">
        <v>2019</v>
      </c>
      <c r="F215" s="27">
        <v>5000</v>
      </c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7">
        <f t="shared" si="14"/>
        <v>0</v>
      </c>
      <c r="T215" s="37">
        <f t="shared" si="15"/>
        <v>60000</v>
      </c>
    </row>
    <row r="216" spans="1:20" ht="36.75" customHeight="1" x14ac:dyDescent="0.4">
      <c r="A216" s="41" t="s">
        <v>30</v>
      </c>
      <c r="B216" s="14"/>
      <c r="C216" s="134"/>
      <c r="D216" s="81"/>
      <c r="E216" s="30">
        <v>2018</v>
      </c>
      <c r="F216" s="27">
        <v>5000</v>
      </c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7">
        <f t="shared" si="14"/>
        <v>0</v>
      </c>
      <c r="T216" s="37">
        <f t="shared" si="15"/>
        <v>60000</v>
      </c>
    </row>
    <row r="217" spans="1:20" ht="36.75" customHeight="1" x14ac:dyDescent="0.4">
      <c r="A217" s="41"/>
      <c r="B217" s="14"/>
      <c r="C217" s="134"/>
      <c r="D217" s="81"/>
      <c r="E217" s="30">
        <v>2017</v>
      </c>
      <c r="F217" s="27">
        <v>5000</v>
      </c>
      <c r="G217" s="36">
        <v>5000</v>
      </c>
      <c r="H217" s="36">
        <v>5000</v>
      </c>
      <c r="I217" s="36">
        <v>5000</v>
      </c>
      <c r="J217" s="36">
        <v>5000</v>
      </c>
      <c r="K217" s="36">
        <v>5000</v>
      </c>
      <c r="L217" s="36">
        <v>5000</v>
      </c>
      <c r="M217" s="36">
        <v>5000</v>
      </c>
      <c r="N217" s="36">
        <v>5000</v>
      </c>
      <c r="O217" s="36">
        <v>5000</v>
      </c>
      <c r="P217" s="36">
        <v>5000</v>
      </c>
      <c r="Q217" s="40"/>
      <c r="R217" s="40"/>
      <c r="S217" s="37">
        <f t="shared" si="14"/>
        <v>50000</v>
      </c>
      <c r="T217" s="37">
        <f t="shared" si="15"/>
        <v>10000</v>
      </c>
    </row>
    <row r="218" spans="1:20" ht="36.75" x14ac:dyDescent="0.4">
      <c r="A218" s="127"/>
      <c r="B218" s="14"/>
      <c r="C218" s="134"/>
      <c r="D218" s="81"/>
      <c r="E218" s="30">
        <v>2016</v>
      </c>
      <c r="F218" s="27">
        <v>5000</v>
      </c>
      <c r="G218" s="36">
        <v>5000</v>
      </c>
      <c r="H218" s="36">
        <v>5000</v>
      </c>
      <c r="I218" s="36">
        <v>5000</v>
      </c>
      <c r="J218" s="36">
        <v>5000</v>
      </c>
      <c r="K218" s="36">
        <v>5000</v>
      </c>
      <c r="L218" s="36">
        <v>5000</v>
      </c>
      <c r="M218" s="36">
        <v>5000</v>
      </c>
      <c r="N218" s="36">
        <v>5000</v>
      </c>
      <c r="O218" s="36">
        <v>5000</v>
      </c>
      <c r="P218" s="36">
        <v>5000</v>
      </c>
      <c r="Q218" s="36">
        <v>5000</v>
      </c>
      <c r="R218" s="36">
        <v>5000</v>
      </c>
      <c r="S218" s="37">
        <f t="shared" si="14"/>
        <v>60000</v>
      </c>
      <c r="T218" s="37">
        <f t="shared" si="15"/>
        <v>0</v>
      </c>
    </row>
    <row r="219" spans="1:20" ht="36.75" x14ac:dyDescent="0.4">
      <c r="A219" s="128"/>
      <c r="B219" s="14"/>
      <c r="C219" s="134"/>
      <c r="D219" s="81"/>
      <c r="E219" s="30">
        <v>2015</v>
      </c>
      <c r="F219" s="27">
        <v>5000</v>
      </c>
      <c r="G219" s="36">
        <v>5000</v>
      </c>
      <c r="H219" s="36">
        <v>5000</v>
      </c>
      <c r="I219" s="36">
        <v>5000</v>
      </c>
      <c r="J219" s="36">
        <v>5000</v>
      </c>
      <c r="K219" s="36">
        <v>5000</v>
      </c>
      <c r="L219" s="36">
        <v>5000</v>
      </c>
      <c r="M219" s="36">
        <v>5000</v>
      </c>
      <c r="N219" s="36">
        <v>5000</v>
      </c>
      <c r="O219" s="36">
        <v>5000</v>
      </c>
      <c r="P219" s="36">
        <v>5000</v>
      </c>
      <c r="Q219" s="36">
        <v>5000</v>
      </c>
      <c r="R219" s="36">
        <v>5000</v>
      </c>
      <c r="S219" s="37">
        <f t="shared" si="14"/>
        <v>60000</v>
      </c>
      <c r="T219" s="37">
        <f t="shared" si="15"/>
        <v>0</v>
      </c>
    </row>
    <row r="220" spans="1:20" ht="37.5" thickBot="1" x14ac:dyDescent="0.45">
      <c r="A220" s="13"/>
      <c r="B220" s="14"/>
      <c r="C220" s="14"/>
      <c r="D220" s="15"/>
      <c r="E220" s="49"/>
      <c r="F220" s="50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99">
        <f>SUM(S209:S219)</f>
        <v>720000</v>
      </c>
      <c r="T220" s="87">
        <f>SUM(T209:T219)</f>
        <v>0</v>
      </c>
    </row>
    <row r="221" spans="1:20" ht="36.75" x14ac:dyDescent="0.45">
      <c r="A221" s="13"/>
      <c r="B221" s="14"/>
      <c r="C221" s="14"/>
      <c r="D221" s="15"/>
      <c r="E221" s="14"/>
      <c r="F221" s="16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8"/>
      <c r="T221" s="8"/>
    </row>
    <row r="222" spans="1:20" ht="36.75" x14ac:dyDescent="0.4">
      <c r="A222" s="13"/>
      <c r="B222" s="14"/>
      <c r="C222" s="14"/>
      <c r="D222" s="15"/>
      <c r="E222" s="49"/>
      <c r="F222" s="156"/>
      <c r="G222" s="157"/>
      <c r="H222" s="157"/>
      <c r="I222" s="157"/>
      <c r="J222" s="157"/>
      <c r="K222" s="157"/>
      <c r="L222" s="157"/>
      <c r="M222" s="157"/>
      <c r="N222" s="157"/>
      <c r="O222" s="157"/>
      <c r="P222" s="157"/>
      <c r="Q222" s="157"/>
      <c r="R222" s="157"/>
      <c r="S222" s="105"/>
      <c r="T222" s="105"/>
    </row>
    <row r="223" spans="1:20" ht="36.75" x14ac:dyDescent="0.45">
      <c r="A223" s="13"/>
      <c r="B223" s="14"/>
      <c r="C223" s="14"/>
      <c r="D223" s="15"/>
      <c r="E223" s="14"/>
      <c r="F223" s="16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8"/>
      <c r="T223" s="8"/>
    </row>
    <row r="224" spans="1:20" ht="193.5" x14ac:dyDescent="0.25">
      <c r="A224" s="55" t="s">
        <v>31</v>
      </c>
      <c r="B224" s="55" t="s">
        <v>7</v>
      </c>
      <c r="C224" s="30" t="s">
        <v>32</v>
      </c>
      <c r="D224" s="30" t="s">
        <v>33</v>
      </c>
      <c r="E224" s="30" t="s">
        <v>34</v>
      </c>
      <c r="F224" s="21" t="s">
        <v>11</v>
      </c>
      <c r="G224" s="158" t="s">
        <v>12</v>
      </c>
      <c r="H224" s="158" t="s">
        <v>13</v>
      </c>
      <c r="I224" s="158" t="s">
        <v>14</v>
      </c>
      <c r="J224" s="158" t="s">
        <v>15</v>
      </c>
      <c r="K224" s="158" t="s">
        <v>16</v>
      </c>
      <c r="L224" s="158" t="s">
        <v>17</v>
      </c>
      <c r="M224" s="158" t="s">
        <v>18</v>
      </c>
      <c r="N224" s="158" t="s">
        <v>19</v>
      </c>
      <c r="O224" s="158" t="s">
        <v>20</v>
      </c>
      <c r="P224" s="158" t="s">
        <v>21</v>
      </c>
      <c r="Q224" s="158" t="s">
        <v>22</v>
      </c>
      <c r="R224" s="158" t="s">
        <v>23</v>
      </c>
      <c r="S224" s="23" t="s">
        <v>24</v>
      </c>
      <c r="T224" s="23" t="s">
        <v>25</v>
      </c>
    </row>
    <row r="225" spans="1:20" ht="68.650000000000006" customHeight="1" x14ac:dyDescent="0.7">
      <c r="A225" s="24" t="s">
        <v>87</v>
      </c>
      <c r="B225" s="17"/>
      <c r="C225" s="56" t="s">
        <v>88</v>
      </c>
      <c r="D225" s="84" t="str">
        <f>C225</f>
        <v>SHUSHAN PHARMACY</v>
      </c>
      <c r="E225" s="26">
        <v>2025</v>
      </c>
      <c r="F225" s="27">
        <v>5000</v>
      </c>
      <c r="G225" s="136">
        <v>30000</v>
      </c>
      <c r="H225" s="159"/>
      <c r="I225" s="159"/>
      <c r="J225" s="159"/>
      <c r="K225" s="159"/>
      <c r="L225" s="159"/>
      <c r="M225" s="159"/>
      <c r="N225" s="159"/>
      <c r="O225" s="160">
        <v>25000</v>
      </c>
      <c r="P225" s="159"/>
      <c r="Q225" s="159"/>
      <c r="R225" s="159"/>
      <c r="S225" s="64">
        <f>SUM(G225:R225)</f>
        <v>55000</v>
      </c>
      <c r="T225" s="29">
        <f>SUM(F225*IF(E225=_current_year,_current_month-1,11)-(S225))</f>
        <v>0</v>
      </c>
    </row>
    <row r="226" spans="1:20" ht="37.15" customHeight="1" x14ac:dyDescent="0.25">
      <c r="A226" s="161"/>
      <c r="B226" s="17"/>
      <c r="C226" s="121"/>
      <c r="D226" s="84"/>
      <c r="E226" s="73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5"/>
    </row>
    <row r="227" spans="1:20" ht="37.15" customHeight="1" x14ac:dyDescent="0.25">
      <c r="A227" s="161"/>
      <c r="B227" s="17"/>
      <c r="C227" s="122"/>
      <c r="D227" s="84"/>
      <c r="E227" s="77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9"/>
    </row>
    <row r="228" spans="1:20" ht="37.15" customHeight="1" x14ac:dyDescent="0.4">
      <c r="A228" s="161"/>
      <c r="B228" s="33" t="s">
        <v>28</v>
      </c>
      <c r="C228" s="162"/>
      <c r="D228" s="58"/>
      <c r="E228" s="77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9"/>
    </row>
    <row r="229" spans="1:20" ht="37.15" customHeight="1" x14ac:dyDescent="0.4">
      <c r="A229" s="161"/>
      <c r="B229" s="33" t="s">
        <v>28</v>
      </c>
      <c r="C229" s="38" t="s">
        <v>52</v>
      </c>
      <c r="D229" s="163"/>
      <c r="E229" s="77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9"/>
    </row>
    <row r="230" spans="1:20" ht="37.15" customHeight="1" x14ac:dyDescent="0.4">
      <c r="A230" s="161"/>
      <c r="B230" s="14" t="s">
        <v>28</v>
      </c>
      <c r="C230" s="125"/>
      <c r="D230" s="164"/>
      <c r="E230" s="77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9"/>
    </row>
    <row r="231" spans="1:20" ht="37.15" customHeight="1" x14ac:dyDescent="0.4">
      <c r="A231" s="161"/>
      <c r="B231" s="14"/>
      <c r="C231" s="125"/>
      <c r="D231" s="164"/>
      <c r="E231" s="77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9"/>
    </row>
    <row r="232" spans="1:20" ht="37.15" customHeight="1" x14ac:dyDescent="0.4">
      <c r="A232" s="41" t="s">
        <v>30</v>
      </c>
      <c r="B232" s="14"/>
      <c r="C232" s="125"/>
      <c r="D232" s="164"/>
      <c r="E232" s="77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9"/>
    </row>
    <row r="233" spans="1:20" ht="37.15" customHeight="1" x14ac:dyDescent="0.4">
      <c r="A233" s="165"/>
      <c r="B233" s="14"/>
      <c r="C233" s="125"/>
      <c r="D233" s="164"/>
      <c r="E233" s="77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9"/>
    </row>
    <row r="234" spans="1:20" ht="37.15" customHeight="1" x14ac:dyDescent="0.4">
      <c r="A234" s="127"/>
      <c r="B234" s="14"/>
      <c r="C234" s="125"/>
      <c r="D234" s="164"/>
      <c r="E234" s="77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9"/>
    </row>
    <row r="235" spans="1:20" ht="37.15" customHeight="1" x14ac:dyDescent="0.4">
      <c r="A235" s="128"/>
      <c r="B235" s="14"/>
      <c r="C235" s="129"/>
      <c r="D235" s="166"/>
      <c r="E235" s="167"/>
      <c r="F235" s="168"/>
      <c r="G235" s="168"/>
      <c r="H235" s="168"/>
      <c r="I235" s="168"/>
      <c r="J235" s="168"/>
      <c r="K235" s="168"/>
      <c r="L235" s="168"/>
      <c r="M235" s="168"/>
      <c r="N235" s="168"/>
      <c r="O235" s="168"/>
      <c r="P235" s="168"/>
      <c r="Q235" s="168"/>
      <c r="R235" s="168"/>
      <c r="S235" s="168"/>
      <c r="T235" s="169"/>
    </row>
    <row r="236" spans="1:20" ht="37.5" thickBot="1" x14ac:dyDescent="0.45">
      <c r="A236" s="13"/>
      <c r="B236" s="14"/>
      <c r="C236" s="14"/>
      <c r="D236" s="15"/>
      <c r="E236" s="49"/>
      <c r="F236" s="170"/>
      <c r="G236" s="171"/>
      <c r="H236" s="171"/>
      <c r="I236" s="171"/>
      <c r="J236" s="171"/>
      <c r="K236" s="171"/>
      <c r="L236" s="171"/>
      <c r="M236" s="171"/>
      <c r="N236" s="171"/>
      <c r="O236" s="171"/>
      <c r="P236" s="171"/>
      <c r="Q236" s="171"/>
      <c r="R236" s="171"/>
      <c r="S236" s="99">
        <f>SUM(S225:S235)</f>
        <v>55000</v>
      </c>
      <c r="T236" s="87">
        <f>SUM(T225:T235)</f>
        <v>0</v>
      </c>
    </row>
    <row r="237" spans="1:20" ht="36.75" x14ac:dyDescent="0.45">
      <c r="A237" s="13"/>
      <c r="B237" s="14"/>
      <c r="C237" s="14"/>
      <c r="D237" s="15"/>
      <c r="E237" s="14"/>
      <c r="F237" s="16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8"/>
      <c r="T237" s="8"/>
    </row>
    <row r="238" spans="1:20" ht="60" customHeight="1" x14ac:dyDescent="0.25">
      <c r="A238" s="54" t="s">
        <v>31</v>
      </c>
      <c r="B238" s="55" t="s">
        <v>7</v>
      </c>
      <c r="C238" s="30" t="s">
        <v>32</v>
      </c>
      <c r="D238" s="30" t="s">
        <v>33</v>
      </c>
      <c r="E238" s="30" t="s">
        <v>34</v>
      </c>
      <c r="F238" s="21" t="s">
        <v>11</v>
      </c>
      <c r="G238" s="40" t="s">
        <v>12</v>
      </c>
      <c r="H238" s="40" t="s">
        <v>13</v>
      </c>
      <c r="I238" s="40" t="s">
        <v>14</v>
      </c>
      <c r="J238" s="40" t="s">
        <v>15</v>
      </c>
      <c r="K238" s="40" t="s">
        <v>16</v>
      </c>
      <c r="L238" s="40" t="s">
        <v>17</v>
      </c>
      <c r="M238" s="40" t="s">
        <v>18</v>
      </c>
      <c r="N238" s="40" t="s">
        <v>19</v>
      </c>
      <c r="O238" s="40" t="s">
        <v>20</v>
      </c>
      <c r="P238" s="40" t="s">
        <v>21</v>
      </c>
      <c r="Q238" s="40" t="s">
        <v>22</v>
      </c>
      <c r="R238" s="40" t="s">
        <v>23</v>
      </c>
      <c r="S238" s="23" t="s">
        <v>24</v>
      </c>
      <c r="T238" s="23" t="s">
        <v>25</v>
      </c>
    </row>
    <row r="239" spans="1:20" ht="51.75" customHeight="1" x14ac:dyDescent="0.25">
      <c r="A239" s="172" t="s">
        <v>89</v>
      </c>
      <c r="B239" s="17"/>
      <c r="C239" s="56" t="s">
        <v>90</v>
      </c>
      <c r="D239" s="19"/>
      <c r="E239" s="26">
        <v>2025</v>
      </c>
      <c r="F239" s="27">
        <v>5000</v>
      </c>
      <c r="G239" s="22"/>
      <c r="H239" s="22"/>
      <c r="I239" s="22"/>
      <c r="J239" s="22"/>
      <c r="K239" s="22"/>
      <c r="L239" s="22"/>
      <c r="M239" s="22"/>
      <c r="N239" s="22"/>
      <c r="O239" s="22"/>
      <c r="P239" s="173">
        <v>100000</v>
      </c>
      <c r="Q239" s="22"/>
      <c r="R239" s="22"/>
      <c r="S239" s="64">
        <f t="shared" ref="S239:S246" si="16">SUM(G239:R239)</f>
        <v>100000</v>
      </c>
      <c r="T239" s="29">
        <f>SUM(F239*IF(E239=_current_year,_current_month,11)-(S239))</f>
        <v>-45000</v>
      </c>
    </row>
    <row r="240" spans="1:20" ht="51.75" customHeight="1" x14ac:dyDescent="0.25">
      <c r="A240" s="172"/>
      <c r="B240" s="17"/>
      <c r="C240" s="56"/>
      <c r="D240" s="19"/>
      <c r="E240" s="30">
        <v>2024</v>
      </c>
      <c r="F240" s="27">
        <v>3000</v>
      </c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37">
        <f t="shared" si="16"/>
        <v>0</v>
      </c>
      <c r="T240" s="29">
        <f t="shared" ref="T240:T246" si="17">SUM(F240*IF(E240=_current_year,_current_month,12)-(S240))</f>
        <v>36000</v>
      </c>
    </row>
    <row r="241" spans="1:20" ht="51.75" customHeight="1" x14ac:dyDescent="0.25">
      <c r="A241" s="172"/>
      <c r="B241" s="17"/>
      <c r="C241" s="56"/>
      <c r="D241" s="19"/>
      <c r="E241" s="30">
        <v>2023</v>
      </c>
      <c r="F241" s="27">
        <v>3000</v>
      </c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37">
        <f t="shared" si="16"/>
        <v>0</v>
      </c>
      <c r="T241" s="29">
        <f t="shared" si="17"/>
        <v>36000</v>
      </c>
    </row>
    <row r="242" spans="1:20" ht="59.25" customHeight="1" x14ac:dyDescent="0.4">
      <c r="A242" s="172"/>
      <c r="B242" s="33" t="s">
        <v>28</v>
      </c>
      <c r="C242" s="56"/>
      <c r="D242" s="35"/>
      <c r="E242" s="30">
        <v>2022</v>
      </c>
      <c r="F242" s="27">
        <v>3000</v>
      </c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7">
        <f t="shared" si="16"/>
        <v>0</v>
      </c>
      <c r="T242" s="29">
        <f t="shared" si="17"/>
        <v>36000</v>
      </c>
    </row>
    <row r="243" spans="1:20" ht="59.25" customHeight="1" x14ac:dyDescent="0.4">
      <c r="A243" s="172"/>
      <c r="B243" s="33" t="s">
        <v>28</v>
      </c>
      <c r="C243" s="38" t="s">
        <v>52</v>
      </c>
      <c r="D243" s="38"/>
      <c r="E243" s="30">
        <v>2021</v>
      </c>
      <c r="F243" s="27">
        <v>3000</v>
      </c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7">
        <f t="shared" si="16"/>
        <v>0</v>
      </c>
      <c r="T243" s="29">
        <f t="shared" si="17"/>
        <v>36000</v>
      </c>
    </row>
    <row r="244" spans="1:20" ht="36.75" customHeight="1" x14ac:dyDescent="0.4">
      <c r="A244" s="172"/>
      <c r="B244" s="14" t="s">
        <v>28</v>
      </c>
      <c r="C244" s="38"/>
      <c r="D244" s="38"/>
      <c r="E244" s="30">
        <v>2020</v>
      </c>
      <c r="F244" s="27">
        <v>3000</v>
      </c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7">
        <f t="shared" si="16"/>
        <v>0</v>
      </c>
      <c r="T244" s="29">
        <f t="shared" si="17"/>
        <v>36000</v>
      </c>
    </row>
    <row r="245" spans="1:20" ht="36.75" customHeight="1" x14ac:dyDescent="0.4">
      <c r="A245" s="172"/>
      <c r="B245" s="14"/>
      <c r="C245" s="38"/>
      <c r="D245" s="38"/>
      <c r="E245" s="30">
        <v>2019</v>
      </c>
      <c r="F245" s="27">
        <v>3000</v>
      </c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7">
        <f t="shared" si="16"/>
        <v>0</v>
      </c>
      <c r="T245" s="29">
        <f t="shared" si="17"/>
        <v>36000</v>
      </c>
    </row>
    <row r="246" spans="1:20" ht="36.75" customHeight="1" x14ac:dyDescent="0.4">
      <c r="A246" s="41" t="s">
        <v>30</v>
      </c>
      <c r="B246" s="14"/>
      <c r="C246" s="38"/>
      <c r="D246" s="38"/>
      <c r="E246" s="30">
        <v>2018</v>
      </c>
      <c r="F246" s="27">
        <v>3000</v>
      </c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7">
        <f t="shared" si="16"/>
        <v>0</v>
      </c>
      <c r="T246" s="29">
        <f t="shared" si="17"/>
        <v>36000</v>
      </c>
    </row>
    <row r="247" spans="1:20" ht="36.75" customHeight="1" x14ac:dyDescent="0.4">
      <c r="A247" s="41"/>
      <c r="B247" s="14"/>
      <c r="C247" s="38"/>
      <c r="D247" s="38"/>
      <c r="E247" s="30">
        <v>2017</v>
      </c>
      <c r="F247" s="27"/>
      <c r="G247" s="36"/>
      <c r="H247" s="36"/>
      <c r="I247" s="36"/>
      <c r="J247" s="36"/>
      <c r="K247" s="36"/>
      <c r="L247" s="36"/>
      <c r="M247" s="40"/>
      <c r="N247" s="40"/>
      <c r="O247" s="40"/>
      <c r="P247" s="40"/>
      <c r="Q247" s="40"/>
      <c r="R247" s="40"/>
      <c r="S247" s="37"/>
      <c r="T247" s="37"/>
    </row>
    <row r="248" spans="1:20" ht="36.75" x14ac:dyDescent="0.4">
      <c r="A248" s="127"/>
      <c r="B248" s="14"/>
      <c r="C248" s="38"/>
      <c r="D248" s="38"/>
      <c r="E248" s="30">
        <v>2016</v>
      </c>
      <c r="F248" s="27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37"/>
      <c r="T248" s="37"/>
    </row>
    <row r="249" spans="1:20" ht="36.75" x14ac:dyDescent="0.4">
      <c r="A249" s="128"/>
      <c r="B249" s="14"/>
      <c r="C249" s="38"/>
      <c r="D249" s="38"/>
      <c r="E249" s="30">
        <v>2015</v>
      </c>
      <c r="F249" s="27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37"/>
      <c r="T249" s="37"/>
    </row>
    <row r="250" spans="1:20" ht="37.5" thickBot="1" x14ac:dyDescent="0.45">
      <c r="A250" s="13"/>
      <c r="B250" s="14"/>
      <c r="C250" s="14"/>
      <c r="D250" s="15"/>
      <c r="E250" s="49"/>
      <c r="F250" s="50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138">
        <f>SUM(S239:S249)</f>
        <v>100000</v>
      </c>
      <c r="T250" s="87">
        <f>SUM(T239:T249)</f>
        <v>207000</v>
      </c>
    </row>
    <row r="251" spans="1:20" ht="36.75" x14ac:dyDescent="0.45">
      <c r="A251" s="13"/>
      <c r="B251" s="14"/>
      <c r="C251" s="14"/>
      <c r="D251" s="15"/>
      <c r="E251" s="14"/>
      <c r="F251" s="16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8"/>
      <c r="T251" s="8"/>
    </row>
    <row r="252" spans="1:20" ht="60" customHeight="1" x14ac:dyDescent="0.25">
      <c r="A252" s="55" t="s">
        <v>31</v>
      </c>
      <c r="B252" s="55" t="s">
        <v>7</v>
      </c>
      <c r="C252" s="30" t="s">
        <v>32</v>
      </c>
      <c r="D252" s="30" t="s">
        <v>33</v>
      </c>
      <c r="E252" s="30" t="s">
        <v>34</v>
      </c>
      <c r="F252" s="21" t="s">
        <v>11</v>
      </c>
      <c r="G252" s="40" t="s">
        <v>12</v>
      </c>
      <c r="H252" s="40" t="s">
        <v>13</v>
      </c>
      <c r="I252" s="40" t="s">
        <v>14</v>
      </c>
      <c r="J252" s="40" t="s">
        <v>15</v>
      </c>
      <c r="K252" s="40" t="s">
        <v>16</v>
      </c>
      <c r="L252" s="40" t="s">
        <v>17</v>
      </c>
      <c r="M252" s="40" t="s">
        <v>18</v>
      </c>
      <c r="N252" s="40" t="s">
        <v>19</v>
      </c>
      <c r="O252" s="40" t="s">
        <v>20</v>
      </c>
      <c r="P252" s="40" t="s">
        <v>21</v>
      </c>
      <c r="Q252" s="40" t="s">
        <v>22</v>
      </c>
      <c r="R252" s="40" t="s">
        <v>23</v>
      </c>
      <c r="S252" s="23" t="s">
        <v>24</v>
      </c>
      <c r="T252" s="23" t="s">
        <v>25</v>
      </c>
    </row>
    <row r="253" spans="1:20" ht="51.75" customHeight="1" x14ac:dyDescent="0.25">
      <c r="A253" s="172" t="s">
        <v>91</v>
      </c>
      <c r="B253" s="17"/>
      <c r="C253" s="56" t="s">
        <v>92</v>
      </c>
      <c r="D253" s="19"/>
      <c r="E253" s="26">
        <v>2025</v>
      </c>
      <c r="F253" s="27">
        <v>5000</v>
      </c>
      <c r="G253" s="22"/>
      <c r="H253" s="22"/>
      <c r="I253" s="22"/>
      <c r="J253" s="36"/>
      <c r="K253" s="22"/>
      <c r="L253" s="22"/>
      <c r="M253" s="22">
        <v>30000</v>
      </c>
      <c r="N253" s="22"/>
      <c r="O253" s="22"/>
      <c r="P253" s="22"/>
      <c r="Q253" s="22"/>
      <c r="R253" s="22"/>
      <c r="S253" s="64">
        <f t="shared" ref="S253:S260" si="18">SUM(G253:R253)</f>
        <v>30000</v>
      </c>
      <c r="T253" s="29">
        <f>SUM(F253*IF(E253=_current_year,_current_month,12)-(S253))</f>
        <v>30000</v>
      </c>
    </row>
    <row r="254" spans="1:20" ht="51.75" customHeight="1" x14ac:dyDescent="0.25">
      <c r="A254" s="172"/>
      <c r="B254" s="17"/>
      <c r="C254" s="56"/>
      <c r="D254" s="19"/>
      <c r="E254" s="30">
        <v>2024</v>
      </c>
      <c r="F254" s="27">
        <v>3000</v>
      </c>
      <c r="G254" s="22"/>
      <c r="H254" s="22"/>
      <c r="I254" s="22"/>
      <c r="J254" s="36"/>
      <c r="K254" s="22"/>
      <c r="L254" s="22"/>
      <c r="M254" s="22"/>
      <c r="N254" s="22"/>
      <c r="O254" s="22"/>
      <c r="P254" s="22"/>
      <c r="Q254" s="22"/>
      <c r="R254" s="22"/>
      <c r="S254" s="37">
        <f t="shared" si="18"/>
        <v>0</v>
      </c>
      <c r="T254" s="22">
        <f>SUM(F254*IF(E254=_current_year,_current_month,12)-(S254))</f>
        <v>36000</v>
      </c>
    </row>
    <row r="255" spans="1:20" ht="51.75" customHeight="1" x14ac:dyDescent="0.25">
      <c r="A255" s="172"/>
      <c r="B255" s="17"/>
      <c r="C255" s="56"/>
      <c r="D255" s="19"/>
      <c r="E255" s="30">
        <v>2023</v>
      </c>
      <c r="F255" s="27">
        <v>3000</v>
      </c>
      <c r="G255" s="22"/>
      <c r="H255" s="22"/>
      <c r="I255" s="22"/>
      <c r="J255" s="36">
        <v>18000</v>
      </c>
      <c r="K255" s="22"/>
      <c r="L255" s="22"/>
      <c r="M255" s="22"/>
      <c r="N255" s="22"/>
      <c r="O255" s="22"/>
      <c r="P255" s="22"/>
      <c r="Q255" s="22"/>
      <c r="R255" s="174">
        <v>18000</v>
      </c>
      <c r="S255" s="37">
        <f t="shared" si="18"/>
        <v>36000</v>
      </c>
      <c r="T255" s="22">
        <f>SUM(F255*12)-(S255)</f>
        <v>0</v>
      </c>
    </row>
    <row r="256" spans="1:20" ht="36.75" customHeight="1" x14ac:dyDescent="0.4">
      <c r="A256" s="172"/>
      <c r="B256" s="33" t="s">
        <v>28</v>
      </c>
      <c r="C256" s="56"/>
      <c r="D256" s="35"/>
      <c r="E256" s="30">
        <v>2022</v>
      </c>
      <c r="F256" s="27">
        <v>3000</v>
      </c>
      <c r="G256" s="36"/>
      <c r="H256" s="36"/>
      <c r="I256" s="36"/>
      <c r="J256" s="36"/>
      <c r="K256" s="36"/>
      <c r="L256" s="36"/>
      <c r="M256" s="36"/>
      <c r="N256" s="36">
        <v>25000</v>
      </c>
      <c r="O256" s="36"/>
      <c r="P256" s="36"/>
      <c r="Q256" s="36"/>
      <c r="R256" s="36"/>
      <c r="S256" s="37">
        <f t="shared" si="18"/>
        <v>25000</v>
      </c>
      <c r="T256" s="37">
        <f>SUM(36000-S256)</f>
        <v>11000</v>
      </c>
    </row>
    <row r="257" spans="1:20" ht="36.75" customHeight="1" x14ac:dyDescent="0.4">
      <c r="A257" s="172"/>
      <c r="B257" s="33" t="s">
        <v>28</v>
      </c>
      <c r="C257" s="80" t="s">
        <v>52</v>
      </c>
      <c r="D257" s="80"/>
      <c r="E257" s="30">
        <v>2021</v>
      </c>
      <c r="F257" s="27">
        <v>3000</v>
      </c>
      <c r="G257" s="36"/>
      <c r="H257" s="36"/>
      <c r="I257" s="36"/>
      <c r="J257" s="36"/>
      <c r="K257" s="36">
        <v>12000</v>
      </c>
      <c r="L257" s="36"/>
      <c r="M257" s="36"/>
      <c r="N257" s="36"/>
      <c r="O257" s="36"/>
      <c r="P257" s="36">
        <v>24000</v>
      </c>
      <c r="Q257" s="36"/>
      <c r="R257" s="36"/>
      <c r="S257" s="37">
        <f t="shared" si="18"/>
        <v>36000</v>
      </c>
      <c r="T257" s="37">
        <f>SUM(36000-S257)</f>
        <v>0</v>
      </c>
    </row>
    <row r="258" spans="1:20" ht="36.75" customHeight="1" x14ac:dyDescent="0.4">
      <c r="A258" s="172"/>
      <c r="B258" s="14" t="s">
        <v>93</v>
      </c>
      <c r="C258" s="80"/>
      <c r="D258" s="80"/>
      <c r="E258" s="30">
        <v>2020</v>
      </c>
      <c r="F258" s="27">
        <v>3000</v>
      </c>
      <c r="G258" s="36"/>
      <c r="H258" s="36"/>
      <c r="I258" s="36"/>
      <c r="J258" s="36"/>
      <c r="K258" s="36">
        <v>18000</v>
      </c>
      <c r="L258" s="36"/>
      <c r="M258" s="36"/>
      <c r="N258" s="36"/>
      <c r="O258" s="36">
        <v>18000</v>
      </c>
      <c r="P258" s="36"/>
      <c r="Q258" s="36"/>
      <c r="R258" s="36">
        <v>18000</v>
      </c>
      <c r="S258" s="37">
        <f t="shared" si="18"/>
        <v>54000</v>
      </c>
      <c r="T258" s="37">
        <f>SUM(36000-S258)</f>
        <v>-18000</v>
      </c>
    </row>
    <row r="259" spans="1:20" ht="36.75" customHeight="1" x14ac:dyDescent="0.4">
      <c r="A259" s="41" t="s">
        <v>30</v>
      </c>
      <c r="B259" s="14"/>
      <c r="C259" s="80"/>
      <c r="D259" s="80"/>
      <c r="E259" s="30">
        <v>2019</v>
      </c>
      <c r="F259" s="27">
        <v>3000</v>
      </c>
      <c r="G259" s="36"/>
      <c r="H259" s="36"/>
      <c r="I259" s="36"/>
      <c r="J259" s="36"/>
      <c r="K259" s="36">
        <v>18000</v>
      </c>
      <c r="L259" s="36"/>
      <c r="M259" s="36"/>
      <c r="N259" s="36"/>
      <c r="O259" s="36"/>
      <c r="P259" s="36"/>
      <c r="Q259" s="36"/>
      <c r="R259" s="36"/>
      <c r="S259" s="37">
        <f t="shared" si="18"/>
        <v>18000</v>
      </c>
      <c r="T259" s="37">
        <f>SUM(36000-S259)</f>
        <v>18000</v>
      </c>
    </row>
    <row r="260" spans="1:20" ht="36.75" customHeight="1" x14ac:dyDescent="0.4">
      <c r="A260" s="41"/>
      <c r="B260" s="14"/>
      <c r="C260" s="80"/>
      <c r="D260" s="80"/>
      <c r="E260" s="30">
        <v>2018</v>
      </c>
      <c r="F260" s="27">
        <v>3000</v>
      </c>
      <c r="G260" s="36"/>
      <c r="H260" s="36">
        <v>15000</v>
      </c>
      <c r="I260" s="36"/>
      <c r="J260" s="36"/>
      <c r="K260" s="36"/>
      <c r="L260" s="36"/>
      <c r="M260" s="36"/>
      <c r="N260" s="36"/>
      <c r="O260" s="36"/>
      <c r="P260" s="36">
        <v>21000</v>
      </c>
      <c r="Q260" s="36"/>
      <c r="R260" s="36">
        <v>10000</v>
      </c>
      <c r="S260" s="37">
        <f t="shared" si="18"/>
        <v>46000</v>
      </c>
      <c r="T260" s="37">
        <f>SUM(36000-S260)</f>
        <v>-10000</v>
      </c>
    </row>
    <row r="261" spans="1:20" ht="36.75" x14ac:dyDescent="0.4">
      <c r="B261" s="14"/>
      <c r="C261" s="80"/>
      <c r="D261" s="80"/>
      <c r="E261" s="30">
        <v>2017</v>
      </c>
      <c r="F261" s="27">
        <v>3000</v>
      </c>
      <c r="G261" s="36"/>
      <c r="H261" s="36"/>
      <c r="I261" s="36">
        <v>15000</v>
      </c>
      <c r="J261" s="36"/>
      <c r="K261" s="36"/>
      <c r="L261" s="36"/>
      <c r="M261" s="36"/>
      <c r="N261" s="36"/>
      <c r="O261" s="36"/>
      <c r="P261" s="36"/>
      <c r="Q261" s="36"/>
      <c r="R261" s="36"/>
      <c r="S261" s="37">
        <f>SUM(I261:R261)</f>
        <v>15000</v>
      </c>
      <c r="T261" s="37">
        <f>SUM(30000-S261)</f>
        <v>15000</v>
      </c>
    </row>
    <row r="262" spans="1:20" ht="173.1" customHeight="1" thickBot="1" x14ac:dyDescent="0.45">
      <c r="B262" s="14"/>
      <c r="C262" s="80"/>
      <c r="D262" s="80"/>
      <c r="E262" s="49"/>
      <c r="F262" s="50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99">
        <f>SUM(S253:S261)</f>
        <v>260000</v>
      </c>
      <c r="T262" s="87">
        <f>SUM(T253:T261)</f>
        <v>82000</v>
      </c>
    </row>
    <row r="263" spans="1:20" ht="36.75" x14ac:dyDescent="0.45">
      <c r="A263" s="13"/>
      <c r="B263" s="14"/>
      <c r="C263" s="14"/>
      <c r="D263" s="15"/>
      <c r="E263" s="14"/>
      <c r="F263" s="16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8"/>
      <c r="T263" s="8"/>
    </row>
    <row r="264" spans="1:20" ht="60" customHeight="1" x14ac:dyDescent="0.25">
      <c r="A264" s="55" t="s">
        <v>31</v>
      </c>
      <c r="B264" s="55" t="s">
        <v>7</v>
      </c>
      <c r="C264" s="30" t="s">
        <v>32</v>
      </c>
      <c r="D264" s="30" t="s">
        <v>33</v>
      </c>
      <c r="E264" s="30" t="s">
        <v>34</v>
      </c>
      <c r="F264" s="21" t="s">
        <v>11</v>
      </c>
      <c r="G264" s="40" t="s">
        <v>12</v>
      </c>
      <c r="H264" s="40" t="s">
        <v>13</v>
      </c>
      <c r="I264" s="40" t="s">
        <v>14</v>
      </c>
      <c r="J264" s="40" t="s">
        <v>15</v>
      </c>
      <c r="K264" s="40" t="s">
        <v>16</v>
      </c>
      <c r="L264" s="40" t="s">
        <v>17</v>
      </c>
      <c r="M264" s="40" t="s">
        <v>18</v>
      </c>
      <c r="N264" s="40" t="s">
        <v>19</v>
      </c>
      <c r="O264" s="40" t="s">
        <v>20</v>
      </c>
      <c r="P264" s="40" t="s">
        <v>21</v>
      </c>
      <c r="Q264" s="40" t="s">
        <v>22</v>
      </c>
      <c r="R264" s="40" t="s">
        <v>23</v>
      </c>
      <c r="S264" s="23" t="s">
        <v>24</v>
      </c>
      <c r="T264" s="23" t="s">
        <v>25</v>
      </c>
    </row>
    <row r="265" spans="1:20" ht="66.599999999999994" customHeight="1" x14ac:dyDescent="0.25">
      <c r="A265" s="175" t="s">
        <v>94</v>
      </c>
      <c r="B265" s="17"/>
      <c r="C265" s="25" t="s">
        <v>95</v>
      </c>
      <c r="D265" s="19"/>
      <c r="E265" s="26">
        <v>2025</v>
      </c>
      <c r="F265" s="27">
        <v>5000</v>
      </c>
      <c r="G265" s="22"/>
      <c r="H265" s="22"/>
      <c r="I265" s="22"/>
      <c r="J265" s="22"/>
      <c r="K265" s="22"/>
      <c r="L265" s="22"/>
      <c r="M265" s="22"/>
      <c r="N265" s="22"/>
      <c r="O265" s="22">
        <v>55000</v>
      </c>
      <c r="P265" s="22"/>
      <c r="Q265" s="22"/>
      <c r="R265" s="22"/>
      <c r="S265" s="64">
        <f>SUM(G265:R265)</f>
        <v>55000</v>
      </c>
      <c r="T265" s="29">
        <f>SUM(F265*IF(E265=_current_year,_current_month,12)-(S265))</f>
        <v>5000</v>
      </c>
    </row>
    <row r="266" spans="1:20" ht="66.599999999999994" customHeight="1" x14ac:dyDescent="0.25">
      <c r="A266" s="175"/>
      <c r="B266" s="17"/>
      <c r="C266" s="25"/>
      <c r="D266" s="19"/>
      <c r="E266" s="30">
        <v>2024</v>
      </c>
      <c r="F266" s="27">
        <v>3000</v>
      </c>
      <c r="G266" s="22"/>
      <c r="H266" s="22"/>
      <c r="I266" s="22"/>
      <c r="J266" s="22">
        <v>20000</v>
      </c>
      <c r="K266" s="22"/>
      <c r="L266" s="22"/>
      <c r="M266" s="22"/>
      <c r="N266" s="22"/>
      <c r="O266" s="22"/>
      <c r="P266" s="22"/>
      <c r="Q266" s="22"/>
      <c r="R266" s="22"/>
      <c r="S266" s="37">
        <f>SUM(G266:R266)</f>
        <v>20000</v>
      </c>
      <c r="T266" s="22">
        <f>SUM(F266*IF(E266=_current_year,_current_month,12)-(S266))</f>
        <v>16000</v>
      </c>
    </row>
    <row r="267" spans="1:20" ht="51.75" customHeight="1" x14ac:dyDescent="0.25">
      <c r="A267" s="175"/>
      <c r="B267" s="17"/>
      <c r="C267" s="80" t="s">
        <v>52</v>
      </c>
      <c r="D267" s="80"/>
      <c r="E267" s="30">
        <v>2023</v>
      </c>
      <c r="F267" s="27">
        <v>3000</v>
      </c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176"/>
      <c r="R267" s="22">
        <v>9000</v>
      </c>
      <c r="S267" s="37">
        <f>SUM(G267:R267)</f>
        <v>9000</v>
      </c>
      <c r="T267" s="22">
        <f>SUM(3000-(S267))</f>
        <v>-6000</v>
      </c>
    </row>
    <row r="268" spans="1:20" ht="36.75" customHeight="1" x14ac:dyDescent="0.4">
      <c r="A268" s="177"/>
      <c r="B268" s="33" t="s">
        <v>28</v>
      </c>
      <c r="C268" s="80"/>
      <c r="D268" s="80"/>
      <c r="E268" s="90"/>
      <c r="F268" s="91"/>
      <c r="G268" s="91"/>
      <c r="H268" s="91"/>
      <c r="I268" s="91"/>
      <c r="J268" s="91"/>
      <c r="K268" s="91"/>
      <c r="L268" s="91"/>
      <c r="M268" s="91"/>
      <c r="N268" s="91"/>
      <c r="O268" s="91"/>
      <c r="P268" s="91"/>
      <c r="Q268" s="91"/>
      <c r="R268" s="91"/>
      <c r="S268" s="91"/>
      <c r="T268" s="137"/>
    </row>
    <row r="269" spans="1:20" ht="102.6" customHeight="1" thickBot="1" x14ac:dyDescent="0.45">
      <c r="A269" s="177" t="s">
        <v>30</v>
      </c>
      <c r="B269" s="14"/>
      <c r="C269" s="80"/>
      <c r="D269" s="80"/>
      <c r="E269" s="49"/>
      <c r="F269" s="50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178"/>
      <c r="R269" s="51"/>
      <c r="S269" s="99">
        <f>SUM(S265:S268)</f>
        <v>84000</v>
      </c>
      <c r="T269" s="87">
        <f>SUM(T265:T268)</f>
        <v>15000</v>
      </c>
    </row>
    <row r="270" spans="1:20" ht="50.65" customHeight="1" x14ac:dyDescent="0.45">
      <c r="A270" s="13"/>
      <c r="B270" s="14"/>
      <c r="C270" s="14"/>
      <c r="D270" s="15"/>
      <c r="E270" s="14"/>
      <c r="F270" s="16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8"/>
      <c r="T270" s="8"/>
    </row>
    <row r="272" spans="1:20" ht="50.65" customHeight="1" x14ac:dyDescent="0.45">
      <c r="A272" s="13"/>
      <c r="B272" s="14"/>
      <c r="C272" s="14"/>
      <c r="D272" s="15"/>
      <c r="E272" s="14"/>
      <c r="F272" s="16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8"/>
      <c r="T272" s="8"/>
    </row>
    <row r="273" spans="1:20" ht="60" customHeight="1" x14ac:dyDescent="0.25">
      <c r="A273" s="55" t="s">
        <v>31</v>
      </c>
      <c r="B273" s="55" t="s">
        <v>7</v>
      </c>
      <c r="C273" s="30" t="s">
        <v>32</v>
      </c>
      <c r="D273" s="30" t="s">
        <v>33</v>
      </c>
      <c r="E273" s="30" t="s">
        <v>34</v>
      </c>
      <c r="F273" s="21" t="s">
        <v>11</v>
      </c>
      <c r="G273" s="40" t="s">
        <v>12</v>
      </c>
      <c r="H273" s="40" t="s">
        <v>13</v>
      </c>
      <c r="I273" s="40" t="s">
        <v>14</v>
      </c>
      <c r="J273" s="40" t="s">
        <v>15</v>
      </c>
      <c r="K273" s="40" t="s">
        <v>16</v>
      </c>
      <c r="L273" s="40" t="s">
        <v>17</v>
      </c>
      <c r="M273" s="40" t="s">
        <v>18</v>
      </c>
      <c r="N273" s="40" t="s">
        <v>19</v>
      </c>
      <c r="O273" s="40" t="s">
        <v>20</v>
      </c>
      <c r="P273" s="40" t="s">
        <v>21</v>
      </c>
      <c r="Q273" s="40" t="s">
        <v>22</v>
      </c>
      <c r="R273" s="40" t="s">
        <v>23</v>
      </c>
      <c r="S273" s="23" t="s">
        <v>24</v>
      </c>
      <c r="T273" s="23" t="s">
        <v>25</v>
      </c>
    </row>
    <row r="274" spans="1:20" ht="51.75" customHeight="1" x14ac:dyDescent="0.25">
      <c r="A274" s="172" t="s">
        <v>96</v>
      </c>
      <c r="B274" s="17"/>
      <c r="C274" s="56" t="s">
        <v>97</v>
      </c>
      <c r="D274" s="84" t="s">
        <v>98</v>
      </c>
      <c r="E274" s="26">
        <v>2025</v>
      </c>
      <c r="F274" s="27">
        <v>5000</v>
      </c>
      <c r="G274" s="22"/>
      <c r="H274" s="22"/>
      <c r="I274" s="22"/>
      <c r="J274" s="22"/>
      <c r="K274" s="22"/>
      <c r="L274" s="22"/>
      <c r="M274" s="22">
        <v>52000</v>
      </c>
      <c r="N274" s="22"/>
      <c r="O274" s="22">
        <v>30000</v>
      </c>
      <c r="P274" s="22"/>
      <c r="Q274" s="22"/>
      <c r="R274" s="22"/>
      <c r="S274" s="64">
        <f>SUM(G274:R274)</f>
        <v>82000</v>
      </c>
      <c r="T274" s="29">
        <f>SUM(F274*IF(E274=_current_year,_current_month,12)-(S274))</f>
        <v>-22000</v>
      </c>
    </row>
    <row r="275" spans="1:20" ht="51.75" customHeight="1" x14ac:dyDescent="0.25">
      <c r="A275" s="172"/>
      <c r="B275" s="17"/>
      <c r="C275" s="56"/>
      <c r="D275" s="84" t="s">
        <v>98</v>
      </c>
      <c r="E275" s="30">
        <v>2024</v>
      </c>
      <c r="F275" s="27">
        <v>3000</v>
      </c>
      <c r="G275" s="22"/>
      <c r="H275" s="22"/>
      <c r="I275" s="22"/>
      <c r="J275" s="22"/>
      <c r="K275" s="22">
        <v>20000</v>
      </c>
      <c r="L275" s="22"/>
      <c r="M275" s="22"/>
      <c r="N275" s="22"/>
      <c r="O275" s="22"/>
      <c r="P275" s="22"/>
      <c r="Q275" s="22"/>
      <c r="R275" s="22"/>
      <c r="S275" s="37">
        <f>SUM(G275:R275)</f>
        <v>20000</v>
      </c>
      <c r="T275" s="22">
        <f>SUM(F275*IF(E275=_current_year,_current_month,12)-(S275))</f>
        <v>16000</v>
      </c>
    </row>
    <row r="276" spans="1:20" ht="51.75" customHeight="1" x14ac:dyDescent="0.25">
      <c r="A276" s="172"/>
      <c r="B276" s="17"/>
      <c r="C276" s="56"/>
      <c r="D276" s="84"/>
      <c r="E276" s="30">
        <v>2023</v>
      </c>
      <c r="F276" s="27">
        <v>3000</v>
      </c>
      <c r="G276" s="22"/>
      <c r="H276" s="22"/>
      <c r="I276" s="22"/>
      <c r="J276" s="22">
        <v>18000</v>
      </c>
      <c r="K276" s="22"/>
      <c r="L276" s="22"/>
      <c r="M276" s="22"/>
      <c r="N276" s="22"/>
      <c r="O276" s="22"/>
      <c r="P276" s="22"/>
      <c r="Q276" s="22"/>
      <c r="R276" s="22"/>
      <c r="S276" s="37">
        <f>SUM(G276:R276)</f>
        <v>18000</v>
      </c>
      <c r="T276" s="22">
        <f>SUM(F276*12)-(S276)</f>
        <v>18000</v>
      </c>
    </row>
    <row r="277" spans="1:20" ht="36.75" customHeight="1" x14ac:dyDescent="0.4">
      <c r="A277" s="172"/>
      <c r="B277" s="33" t="s">
        <v>28</v>
      </c>
      <c r="C277" s="56"/>
      <c r="D277" s="35"/>
      <c r="E277" s="30">
        <v>2022</v>
      </c>
      <c r="F277" s="27">
        <v>3000</v>
      </c>
      <c r="G277" s="179"/>
      <c r="H277" s="179"/>
      <c r="I277" s="179"/>
      <c r="J277" s="179"/>
      <c r="K277" s="179"/>
      <c r="L277" s="179"/>
      <c r="M277" s="179"/>
      <c r="N277" s="179"/>
      <c r="O277" s="179"/>
      <c r="P277" s="179"/>
      <c r="Q277" s="176"/>
      <c r="R277" s="36"/>
      <c r="S277" s="37">
        <f>SUM(G277:R277)</f>
        <v>0</v>
      </c>
      <c r="T277" s="37">
        <f>SUM(3000-S277)</f>
        <v>3000</v>
      </c>
    </row>
    <row r="278" spans="1:20" ht="59.25" customHeight="1" x14ac:dyDescent="0.4">
      <c r="A278" s="172"/>
      <c r="B278" s="33" t="s">
        <v>28</v>
      </c>
      <c r="C278" s="80" t="s">
        <v>52</v>
      </c>
      <c r="D278" s="80"/>
      <c r="E278" s="111"/>
      <c r="F278" s="92"/>
      <c r="G278" s="92"/>
      <c r="H278" s="92"/>
      <c r="I278" s="92"/>
      <c r="J278" s="92"/>
      <c r="K278" s="92"/>
      <c r="L278" s="92"/>
      <c r="M278" s="92"/>
      <c r="N278" s="92"/>
      <c r="O278" s="92"/>
      <c r="P278" s="92"/>
      <c r="Q278" s="92"/>
      <c r="R278" s="92"/>
      <c r="S278" s="92"/>
      <c r="T278" s="112"/>
    </row>
    <row r="279" spans="1:20" ht="36.75" customHeight="1" x14ac:dyDescent="0.4">
      <c r="A279" s="41" t="s">
        <v>30</v>
      </c>
      <c r="B279" s="14" t="s">
        <v>80</v>
      </c>
      <c r="C279" s="80"/>
      <c r="D279" s="80"/>
      <c r="E279" s="111"/>
      <c r="F279" s="92"/>
      <c r="G279" s="92"/>
      <c r="H279" s="92"/>
      <c r="I279" s="92"/>
      <c r="J279" s="92"/>
      <c r="K279" s="92"/>
      <c r="L279" s="92"/>
      <c r="M279" s="92"/>
      <c r="N279" s="92"/>
      <c r="O279" s="92"/>
      <c r="P279" s="92"/>
      <c r="Q279" s="92"/>
      <c r="R279" s="92"/>
      <c r="S279" s="92"/>
      <c r="T279" s="112"/>
    </row>
    <row r="280" spans="1:20" ht="36.75" customHeight="1" x14ac:dyDescent="0.4">
      <c r="A280" s="41"/>
      <c r="B280" s="14"/>
      <c r="C280" s="80"/>
      <c r="D280" s="80"/>
      <c r="E280" s="111"/>
      <c r="F280" s="92"/>
      <c r="G280" s="92"/>
      <c r="H280" s="92"/>
      <c r="I280" s="92"/>
      <c r="J280" s="92"/>
      <c r="K280" s="92"/>
      <c r="L280" s="92"/>
      <c r="M280" s="92"/>
      <c r="N280" s="92"/>
      <c r="O280" s="92"/>
      <c r="P280" s="92"/>
      <c r="Q280" s="92"/>
      <c r="R280" s="92"/>
      <c r="S280" s="92"/>
      <c r="T280" s="112"/>
    </row>
    <row r="281" spans="1:20" ht="36.75" customHeight="1" x14ac:dyDescent="0.4">
      <c r="A281" s="180"/>
      <c r="B281" s="14"/>
      <c r="C281" s="80"/>
      <c r="D281" s="80"/>
      <c r="E281" s="113"/>
      <c r="F281" s="114"/>
      <c r="G281" s="114"/>
      <c r="H281" s="114"/>
      <c r="I281" s="114"/>
      <c r="J281" s="114"/>
      <c r="K281" s="114"/>
      <c r="L281" s="114"/>
      <c r="M281" s="114"/>
      <c r="N281" s="114"/>
      <c r="O281" s="114"/>
      <c r="P281" s="114"/>
      <c r="Q281" s="114"/>
      <c r="R281" s="114"/>
      <c r="S281" s="114"/>
      <c r="T281" s="115"/>
    </row>
    <row r="282" spans="1:20" ht="37.5" thickBot="1" x14ac:dyDescent="0.45">
      <c r="A282" s="13"/>
      <c r="B282" s="14"/>
      <c r="C282" s="80"/>
      <c r="D282" s="80"/>
      <c r="E282" s="49"/>
      <c r="F282" s="50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138">
        <f>SUM(S274:S281)</f>
        <v>120000</v>
      </c>
      <c r="T282" s="87">
        <f>SUM(T274:T281)</f>
        <v>15000</v>
      </c>
    </row>
    <row r="283" spans="1:20" ht="36.75" x14ac:dyDescent="0.45">
      <c r="A283" s="13"/>
      <c r="B283" s="14"/>
      <c r="C283" s="14"/>
      <c r="D283" s="15"/>
      <c r="E283" s="14"/>
      <c r="F283" s="16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8"/>
      <c r="T283" s="8"/>
    </row>
    <row r="284" spans="1:20" ht="36.75" x14ac:dyDescent="0.45">
      <c r="A284" s="13"/>
      <c r="B284" s="14"/>
      <c r="C284" s="14"/>
      <c r="D284" s="15"/>
      <c r="E284" s="14"/>
      <c r="F284" s="16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8"/>
      <c r="T284" s="8"/>
    </row>
    <row r="285" spans="1:20" ht="60" customHeight="1" x14ac:dyDescent="0.25">
      <c r="A285" s="55" t="s">
        <v>31</v>
      </c>
      <c r="B285" s="55" t="s">
        <v>7</v>
      </c>
      <c r="C285" s="30" t="s">
        <v>32</v>
      </c>
      <c r="D285" s="30" t="s">
        <v>33</v>
      </c>
      <c r="E285" s="30" t="s">
        <v>34</v>
      </c>
      <c r="F285" s="21" t="s">
        <v>11</v>
      </c>
      <c r="G285" s="40" t="s">
        <v>12</v>
      </c>
      <c r="H285" s="40" t="s">
        <v>13</v>
      </c>
      <c r="I285" s="40" t="s">
        <v>14</v>
      </c>
      <c r="J285" s="40" t="s">
        <v>15</v>
      </c>
      <c r="K285" s="40" t="s">
        <v>16</v>
      </c>
      <c r="L285" s="40" t="s">
        <v>17</v>
      </c>
      <c r="M285" s="40" t="s">
        <v>18</v>
      </c>
      <c r="N285" s="40" t="s">
        <v>19</v>
      </c>
      <c r="O285" s="40" t="s">
        <v>20</v>
      </c>
      <c r="P285" s="40" t="s">
        <v>21</v>
      </c>
      <c r="Q285" s="40" t="s">
        <v>22</v>
      </c>
      <c r="R285" s="40" t="s">
        <v>23</v>
      </c>
      <c r="S285" s="23" t="s">
        <v>24</v>
      </c>
      <c r="T285" s="23" t="s">
        <v>25</v>
      </c>
    </row>
    <row r="286" spans="1:20" ht="56.1" customHeight="1" x14ac:dyDescent="0.6">
      <c r="A286" s="181" t="s">
        <v>99</v>
      </c>
      <c r="B286" s="17"/>
      <c r="C286" s="182" t="s">
        <v>100</v>
      </c>
      <c r="D286" s="19"/>
      <c r="E286" s="26">
        <v>2025</v>
      </c>
      <c r="F286" s="27">
        <v>10000</v>
      </c>
      <c r="G286" s="22"/>
      <c r="H286" s="22"/>
      <c r="J286" s="22"/>
      <c r="K286" s="22"/>
      <c r="L286" s="22"/>
      <c r="M286" s="22"/>
      <c r="N286" s="22"/>
      <c r="O286" s="60">
        <v>120000</v>
      </c>
      <c r="P286" s="22"/>
      <c r="Q286" s="22"/>
      <c r="R286" s="22"/>
      <c r="S286" s="64">
        <f>SUM(G286:R286)</f>
        <v>120000</v>
      </c>
      <c r="T286" s="29">
        <f>SUM(F286*3-(S286))</f>
        <v>-90000</v>
      </c>
    </row>
    <row r="287" spans="1:20" ht="59.25" customHeight="1" x14ac:dyDescent="0.4">
      <c r="A287" s="41" t="s">
        <v>30</v>
      </c>
      <c r="B287" s="14"/>
      <c r="C287" s="38" t="s">
        <v>52</v>
      </c>
      <c r="D287" s="38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</row>
    <row r="288" spans="1:20" ht="32.25" customHeight="1" x14ac:dyDescent="0.4">
      <c r="A288" s="41"/>
      <c r="B288" s="14"/>
      <c r="C288" s="38"/>
      <c r="D288" s="38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</row>
    <row r="289" spans="1:20" ht="37.5" thickBot="1" x14ac:dyDescent="0.45">
      <c r="A289" s="13"/>
      <c r="B289" s="14"/>
      <c r="C289" s="14"/>
      <c r="D289" s="15"/>
      <c r="E289" s="49"/>
      <c r="F289" s="50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183">
        <f>SUM(S286:S288)</f>
        <v>120000</v>
      </c>
      <c r="T289" s="87">
        <f>SUM(T286:T288)</f>
        <v>-90000</v>
      </c>
    </row>
    <row r="290" spans="1:20" ht="36.75" x14ac:dyDescent="0.45">
      <c r="A290" s="13"/>
      <c r="B290" s="14"/>
      <c r="C290" s="14"/>
      <c r="D290" s="15"/>
      <c r="E290" s="14"/>
      <c r="F290" s="16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8"/>
      <c r="T290" s="8"/>
    </row>
    <row r="291" spans="1:20" ht="60" customHeight="1" x14ac:dyDescent="0.25">
      <c r="A291" s="55" t="s">
        <v>31</v>
      </c>
      <c r="B291" s="55" t="s">
        <v>7</v>
      </c>
      <c r="C291" s="30" t="s">
        <v>32</v>
      </c>
      <c r="D291" s="30" t="s">
        <v>33</v>
      </c>
      <c r="E291" s="30" t="s">
        <v>34</v>
      </c>
      <c r="F291" s="21" t="s">
        <v>11</v>
      </c>
      <c r="G291" s="40" t="s">
        <v>12</v>
      </c>
      <c r="H291" s="40" t="s">
        <v>13</v>
      </c>
      <c r="I291" s="40" t="s">
        <v>14</v>
      </c>
      <c r="J291" s="40" t="s">
        <v>15</v>
      </c>
      <c r="K291" s="40" t="s">
        <v>16</v>
      </c>
      <c r="L291" s="40" t="s">
        <v>17</v>
      </c>
      <c r="M291" s="40" t="s">
        <v>18</v>
      </c>
      <c r="N291" s="40" t="s">
        <v>19</v>
      </c>
      <c r="O291" s="40" t="s">
        <v>20</v>
      </c>
      <c r="P291" s="40" t="s">
        <v>21</v>
      </c>
      <c r="Q291" s="40" t="s">
        <v>22</v>
      </c>
      <c r="R291" s="40" t="s">
        <v>23</v>
      </c>
      <c r="S291" s="23" t="s">
        <v>24</v>
      </c>
      <c r="T291" s="23" t="s">
        <v>25</v>
      </c>
    </row>
    <row r="292" spans="1:20" ht="51.75" customHeight="1" x14ac:dyDescent="0.25">
      <c r="A292" s="172" t="s">
        <v>101</v>
      </c>
      <c r="B292" s="17"/>
      <c r="C292" s="56" t="s">
        <v>102</v>
      </c>
      <c r="D292" s="19"/>
      <c r="E292" s="26">
        <v>2025</v>
      </c>
      <c r="F292" s="27">
        <v>10000</v>
      </c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64">
        <f>SUM(G292:R292)</f>
        <v>0</v>
      </c>
      <c r="T292" s="29">
        <f>SUM(F292*IF(E292=_current_year,_current_month,12)-(S292))</f>
        <v>120000</v>
      </c>
    </row>
    <row r="293" spans="1:20" ht="51.75" customHeight="1" x14ac:dyDescent="0.25">
      <c r="A293" s="172"/>
      <c r="B293" s="17"/>
      <c r="C293" s="56"/>
      <c r="D293" s="19"/>
      <c r="E293" s="30">
        <v>2024</v>
      </c>
      <c r="F293" s="27">
        <v>5000</v>
      </c>
      <c r="G293" s="22"/>
      <c r="H293" s="22"/>
      <c r="I293" s="22"/>
      <c r="J293" s="22"/>
      <c r="K293" s="22"/>
      <c r="L293" s="22"/>
      <c r="M293" s="22">
        <v>260000</v>
      </c>
      <c r="N293" s="22"/>
      <c r="O293" s="22"/>
      <c r="P293" s="22"/>
      <c r="Q293" s="22"/>
      <c r="R293" s="22"/>
      <c r="S293" s="37">
        <f>SUM(G293:R293)</f>
        <v>260000</v>
      </c>
      <c r="T293" s="22">
        <f>SUM(F293*IF(E293=_current_year,_current_month,12)-(S293))</f>
        <v>-200000</v>
      </c>
    </row>
    <row r="294" spans="1:20" ht="51.75" customHeight="1" x14ac:dyDescent="0.25">
      <c r="A294" s="172"/>
      <c r="B294" s="17"/>
      <c r="C294" s="56"/>
      <c r="D294" s="19"/>
      <c r="E294" s="30">
        <v>2023</v>
      </c>
      <c r="F294" s="27">
        <v>5000</v>
      </c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37">
        <f>SUM(G294:R294)</f>
        <v>0</v>
      </c>
      <c r="T294" s="22">
        <f>SUM(F294*12)-(S294)</f>
        <v>60000</v>
      </c>
    </row>
    <row r="295" spans="1:20" ht="54.75" customHeight="1" x14ac:dyDescent="0.4">
      <c r="A295" s="172"/>
      <c r="B295" s="33" t="s">
        <v>28</v>
      </c>
      <c r="C295" s="56"/>
      <c r="D295" s="58" t="s">
        <v>103</v>
      </c>
      <c r="E295" s="30">
        <v>2022</v>
      </c>
      <c r="F295" s="27">
        <v>5000</v>
      </c>
      <c r="G295" s="149"/>
      <c r="H295" s="150"/>
      <c r="I295" s="150"/>
      <c r="J295" s="150"/>
      <c r="K295" s="150"/>
      <c r="L295" s="150"/>
      <c r="M295" s="151"/>
      <c r="N295" s="60"/>
      <c r="O295" s="36">
        <v>120000</v>
      </c>
      <c r="P295" s="36"/>
      <c r="Q295" s="36"/>
      <c r="R295" s="36"/>
      <c r="S295" s="37">
        <f>SUM(N295:R295)</f>
        <v>120000</v>
      </c>
      <c r="T295" s="37">
        <f>SUM(20000-S295)</f>
        <v>-100000</v>
      </c>
    </row>
    <row r="296" spans="1:20" ht="32.25" customHeight="1" x14ac:dyDescent="0.4">
      <c r="A296" s="41" t="s">
        <v>30</v>
      </c>
      <c r="B296" s="14"/>
      <c r="C296" s="38" t="s">
        <v>52</v>
      </c>
      <c r="D296" s="38"/>
      <c r="E296" s="73" t="s">
        <v>104</v>
      </c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</row>
    <row r="297" spans="1:20" ht="32.25" customHeight="1" x14ac:dyDescent="0.4">
      <c r="A297" s="41"/>
      <c r="B297" s="14"/>
      <c r="C297" s="38"/>
      <c r="D297" s="38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</row>
    <row r="298" spans="1:20" ht="37.5" thickBot="1" x14ac:dyDescent="0.45">
      <c r="A298" s="13"/>
      <c r="B298" s="14"/>
      <c r="C298" s="14"/>
      <c r="D298" s="15"/>
      <c r="E298" s="49"/>
      <c r="F298" s="50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183">
        <f>SUM(S292:S297)</f>
        <v>380000</v>
      </c>
      <c r="T298" s="87">
        <f>SUM(T292:T297)</f>
        <v>-120000</v>
      </c>
    </row>
    <row r="299" spans="1:20" ht="36.75" x14ac:dyDescent="0.45">
      <c r="A299" s="13"/>
      <c r="B299" s="14"/>
      <c r="C299" s="14"/>
      <c r="D299" s="15"/>
      <c r="E299" s="49"/>
      <c r="F299" s="16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8"/>
      <c r="T299" s="8"/>
    </row>
    <row r="300" spans="1:20" ht="60" customHeight="1" x14ac:dyDescent="0.25">
      <c r="A300" s="55" t="s">
        <v>31</v>
      </c>
      <c r="B300" s="55" t="s">
        <v>7</v>
      </c>
      <c r="C300" s="30" t="s">
        <v>32</v>
      </c>
      <c r="D300" s="30" t="s">
        <v>33</v>
      </c>
      <c r="E300" s="30" t="s">
        <v>34</v>
      </c>
      <c r="F300" s="21" t="s">
        <v>11</v>
      </c>
      <c r="G300" s="40" t="s">
        <v>12</v>
      </c>
      <c r="H300" s="40" t="s">
        <v>13</v>
      </c>
      <c r="I300" s="40" t="s">
        <v>14</v>
      </c>
      <c r="J300" s="40" t="s">
        <v>15</v>
      </c>
      <c r="K300" s="40" t="s">
        <v>16</v>
      </c>
      <c r="L300" s="40" t="s">
        <v>17</v>
      </c>
      <c r="M300" s="40" t="s">
        <v>18</v>
      </c>
      <c r="N300" s="40" t="s">
        <v>19</v>
      </c>
      <c r="O300" s="40" t="s">
        <v>20</v>
      </c>
      <c r="P300" s="40" t="s">
        <v>21</v>
      </c>
      <c r="Q300" s="40" t="s">
        <v>22</v>
      </c>
      <c r="R300" s="40" t="s">
        <v>23</v>
      </c>
      <c r="S300" s="23" t="s">
        <v>24</v>
      </c>
      <c r="T300" s="23" t="s">
        <v>25</v>
      </c>
    </row>
    <row r="301" spans="1:20" ht="71.650000000000006" customHeight="1" x14ac:dyDescent="0.25">
      <c r="A301" s="172" t="s">
        <v>105</v>
      </c>
      <c r="B301" s="17"/>
      <c r="C301" s="56" t="s">
        <v>106</v>
      </c>
      <c r="D301" s="19"/>
      <c r="E301" s="26">
        <v>2025</v>
      </c>
      <c r="F301" s="27">
        <v>10000</v>
      </c>
      <c r="G301" s="22"/>
      <c r="H301" s="22"/>
      <c r="I301" s="22"/>
      <c r="J301" s="22"/>
      <c r="K301" s="22"/>
      <c r="L301" s="22"/>
      <c r="M301" s="22"/>
      <c r="N301" s="22">
        <v>120000</v>
      </c>
      <c r="O301" s="22"/>
      <c r="P301" s="40"/>
      <c r="Q301" s="22"/>
      <c r="R301" s="22"/>
      <c r="S301" s="64">
        <f>SUM(G301:R301)</f>
        <v>120000</v>
      </c>
      <c r="T301" s="29">
        <f>SUM(F301*IF(E301=_current_year,_current_month,12)-(S301))</f>
        <v>0</v>
      </c>
    </row>
    <row r="302" spans="1:20" ht="71.650000000000006" customHeight="1" x14ac:dyDescent="0.25">
      <c r="A302" s="172"/>
      <c r="B302" s="17"/>
      <c r="C302" s="56"/>
      <c r="D302" s="19"/>
      <c r="E302" s="30">
        <v>2024</v>
      </c>
      <c r="F302" s="27">
        <v>5000</v>
      </c>
      <c r="G302" s="22"/>
      <c r="H302" s="22"/>
      <c r="I302" s="22"/>
      <c r="J302" s="22"/>
      <c r="K302" s="22"/>
      <c r="L302" s="22"/>
      <c r="M302" s="22"/>
      <c r="N302" s="22"/>
      <c r="O302" s="22"/>
      <c r="P302" s="40">
        <v>110000</v>
      </c>
      <c r="Q302" s="22"/>
      <c r="R302" s="22"/>
      <c r="S302" s="37">
        <f>SUM(G302:R302)</f>
        <v>110000</v>
      </c>
      <c r="T302" s="22">
        <f>SUM(F302*IF(E302=_current_year,_current_month,12)-(S302))</f>
        <v>-50000</v>
      </c>
    </row>
    <row r="303" spans="1:20" ht="51.75" customHeight="1" x14ac:dyDescent="0.25">
      <c r="A303" s="172"/>
      <c r="B303" s="17"/>
      <c r="C303" s="30" t="s">
        <v>107</v>
      </c>
      <c r="D303" s="19"/>
      <c r="E303" s="30">
        <v>2023</v>
      </c>
      <c r="F303" s="27">
        <v>5000</v>
      </c>
      <c r="G303" s="22"/>
      <c r="H303" s="22"/>
      <c r="I303" s="22"/>
      <c r="J303" s="22"/>
      <c r="K303" s="22"/>
      <c r="L303" s="22"/>
      <c r="M303" s="22"/>
      <c r="N303" s="22"/>
      <c r="O303" s="176">
        <v>60000</v>
      </c>
      <c r="P303" s="22"/>
      <c r="Q303" s="22"/>
      <c r="R303" s="22"/>
      <c r="S303" s="37">
        <f>SUM(G303:R303)</f>
        <v>60000</v>
      </c>
      <c r="T303" s="22">
        <f>SUM(15000-S303)</f>
        <v>-45000</v>
      </c>
    </row>
    <row r="304" spans="1:20" ht="32.25" customHeight="1" x14ac:dyDescent="0.4">
      <c r="A304" s="41" t="s">
        <v>30</v>
      </c>
      <c r="B304" s="14"/>
      <c r="C304" s="38" t="s">
        <v>52</v>
      </c>
      <c r="D304" s="38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</row>
    <row r="305" spans="1:20" ht="45.75" customHeight="1" x14ac:dyDescent="0.4">
      <c r="A305" s="41"/>
      <c r="B305" s="14"/>
      <c r="C305" s="38"/>
      <c r="D305" s="38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</row>
    <row r="306" spans="1:20" ht="37.5" thickBot="1" x14ac:dyDescent="0.45">
      <c r="A306" s="13"/>
      <c r="B306" s="14"/>
      <c r="C306" s="14"/>
      <c r="D306" s="15"/>
      <c r="E306" s="49"/>
      <c r="F306" s="50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183">
        <f>SUM(S301:S305)</f>
        <v>290000</v>
      </c>
      <c r="T306" s="87">
        <f>SUM(T301:T305)</f>
        <v>-95000</v>
      </c>
    </row>
    <row r="307" spans="1:20" ht="36.75" x14ac:dyDescent="0.45">
      <c r="A307" s="13"/>
      <c r="B307" s="14"/>
      <c r="C307" s="14"/>
      <c r="D307" s="15"/>
      <c r="E307" s="14"/>
      <c r="F307" s="16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8"/>
      <c r="T307" s="8"/>
    </row>
    <row r="308" spans="1:20" ht="60" customHeight="1" x14ac:dyDescent="0.25">
      <c r="A308" s="55" t="s">
        <v>31</v>
      </c>
      <c r="B308" s="55" t="s">
        <v>7</v>
      </c>
      <c r="C308" s="30" t="s">
        <v>32</v>
      </c>
      <c r="D308" s="30" t="s">
        <v>33</v>
      </c>
      <c r="E308" s="30" t="s">
        <v>34</v>
      </c>
      <c r="F308" s="21" t="s">
        <v>11</v>
      </c>
      <c r="G308" s="40" t="s">
        <v>12</v>
      </c>
      <c r="H308" s="40" t="s">
        <v>13</v>
      </c>
      <c r="I308" s="40" t="s">
        <v>14</v>
      </c>
      <c r="J308" s="40" t="s">
        <v>15</v>
      </c>
      <c r="K308" s="40" t="s">
        <v>16</v>
      </c>
      <c r="L308" s="40" t="s">
        <v>17</v>
      </c>
      <c r="M308" s="40" t="s">
        <v>18</v>
      </c>
      <c r="N308" s="40" t="s">
        <v>19</v>
      </c>
      <c r="O308" s="40" t="s">
        <v>20</v>
      </c>
      <c r="P308" s="40" t="s">
        <v>21</v>
      </c>
      <c r="Q308" s="40" t="s">
        <v>22</v>
      </c>
      <c r="R308" s="40" t="s">
        <v>23</v>
      </c>
      <c r="S308" s="23" t="s">
        <v>24</v>
      </c>
      <c r="T308" s="23" t="s">
        <v>25</v>
      </c>
    </row>
    <row r="309" spans="1:20" ht="54.75" customHeight="1" x14ac:dyDescent="0.6">
      <c r="A309" s="172" t="s">
        <v>108</v>
      </c>
      <c r="B309" s="55"/>
      <c r="C309" s="56" t="s">
        <v>109</v>
      </c>
      <c r="D309" s="30"/>
      <c r="E309" s="30">
        <v>2025</v>
      </c>
      <c r="F309" s="27">
        <v>10000</v>
      </c>
      <c r="G309" s="40"/>
      <c r="H309" s="40">
        <v>120000</v>
      </c>
      <c r="I309" s="40"/>
      <c r="J309" s="40"/>
      <c r="K309" s="40"/>
      <c r="L309" s="40"/>
      <c r="M309" s="40"/>
      <c r="N309" s="40"/>
      <c r="O309" s="184"/>
      <c r="Q309" s="40"/>
      <c r="R309" s="40"/>
      <c r="S309" s="64">
        <f>SUM(G309:R309)</f>
        <v>120000</v>
      </c>
      <c r="T309" s="29">
        <f>SUM(F309*IF(E309=_current_year,_current_month,12)-(S309))</f>
        <v>0</v>
      </c>
    </row>
    <row r="310" spans="1:20" ht="54.75" customHeight="1" x14ac:dyDescent="0.25">
      <c r="A310" s="172"/>
      <c r="B310" s="55"/>
      <c r="C310" s="56"/>
      <c r="D310" s="30"/>
      <c r="E310" s="30">
        <v>2024</v>
      </c>
      <c r="F310" s="27">
        <v>5000</v>
      </c>
      <c r="G310" s="40"/>
      <c r="H310" s="40">
        <v>60000</v>
      </c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37">
        <f>SUM(G310:R310)</f>
        <v>60000</v>
      </c>
      <c r="T310" s="22">
        <f>SUM(F310*IF(E310=_current_year,_current_month,12)-(S310))</f>
        <v>0</v>
      </c>
    </row>
    <row r="311" spans="1:20" ht="54.75" customHeight="1" x14ac:dyDescent="0.25">
      <c r="A311" s="172"/>
      <c r="B311" s="55"/>
      <c r="C311" s="56"/>
      <c r="D311" s="30"/>
      <c r="E311" s="30">
        <v>2023</v>
      </c>
      <c r="F311" s="27">
        <v>5000</v>
      </c>
      <c r="G311" s="40"/>
      <c r="H311" s="40">
        <v>30000</v>
      </c>
      <c r="I311" s="40"/>
      <c r="J311" s="40"/>
      <c r="K311" s="40"/>
      <c r="L311" s="40"/>
      <c r="M311" s="40"/>
      <c r="N311" s="40"/>
      <c r="O311" s="40"/>
      <c r="P311" s="40">
        <v>20000</v>
      </c>
      <c r="Q311" s="40"/>
      <c r="R311" s="40"/>
      <c r="S311" s="37">
        <f>SUM(G311:R311)</f>
        <v>50000</v>
      </c>
      <c r="T311" s="22">
        <f>SUM(F311*12)-(S311)</f>
        <v>10000</v>
      </c>
    </row>
    <row r="312" spans="1:20" ht="54.75" customHeight="1" x14ac:dyDescent="0.4">
      <c r="A312" s="172"/>
      <c r="B312" s="33" t="s">
        <v>28</v>
      </c>
      <c r="C312" s="56"/>
      <c r="D312" s="35"/>
      <c r="E312" s="30">
        <v>2022</v>
      </c>
      <c r="F312" s="27">
        <v>5000</v>
      </c>
      <c r="G312" s="36"/>
      <c r="H312" s="36"/>
      <c r="I312" s="36"/>
      <c r="J312" s="36"/>
      <c r="K312" s="36"/>
      <c r="L312" s="176"/>
      <c r="M312" s="36"/>
      <c r="N312" s="36">
        <v>30000</v>
      </c>
      <c r="O312" s="36"/>
      <c r="P312" s="36"/>
      <c r="Q312" s="36"/>
      <c r="R312" s="36"/>
      <c r="S312" s="37">
        <f>SUM(M312:R312)</f>
        <v>30000</v>
      </c>
      <c r="T312" s="37">
        <f>SUM(30000-S312)</f>
        <v>0</v>
      </c>
    </row>
    <row r="313" spans="1:20" ht="59.25" customHeight="1" x14ac:dyDescent="0.4">
      <c r="A313" s="41" t="s">
        <v>30</v>
      </c>
      <c r="B313" s="14"/>
      <c r="C313" s="38" t="s">
        <v>52</v>
      </c>
      <c r="D313" s="38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</row>
    <row r="314" spans="1:20" ht="32.25" customHeight="1" x14ac:dyDescent="0.4">
      <c r="A314" s="41"/>
      <c r="B314" s="14"/>
      <c r="C314" s="38"/>
      <c r="D314" s="38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</row>
    <row r="315" spans="1:20" ht="37.5" thickBot="1" x14ac:dyDescent="0.45">
      <c r="A315" s="13"/>
      <c r="B315" s="14"/>
      <c r="C315" s="14"/>
      <c r="D315" s="15"/>
      <c r="E315" s="49"/>
      <c r="F315" s="50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183">
        <f>SUM(S309:S314)</f>
        <v>260000</v>
      </c>
      <c r="T315" s="87">
        <f>SUM(T309:T314)</f>
        <v>10000</v>
      </c>
    </row>
    <row r="316" spans="1:20" ht="36.75" x14ac:dyDescent="0.45">
      <c r="A316" s="13"/>
      <c r="B316" s="14"/>
      <c r="C316" s="14"/>
      <c r="D316" s="15"/>
      <c r="E316" s="14"/>
      <c r="F316" s="16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8"/>
      <c r="T316" s="8"/>
    </row>
    <row r="317" spans="1:20" ht="60" customHeight="1" x14ac:dyDescent="0.25">
      <c r="A317" s="55" t="s">
        <v>31</v>
      </c>
      <c r="B317" s="55" t="s">
        <v>7</v>
      </c>
      <c r="C317" s="30" t="s">
        <v>32</v>
      </c>
      <c r="D317" s="30" t="s">
        <v>33</v>
      </c>
      <c r="E317" s="30" t="s">
        <v>34</v>
      </c>
      <c r="F317" s="21" t="s">
        <v>11</v>
      </c>
      <c r="G317" s="40" t="s">
        <v>12</v>
      </c>
      <c r="H317" s="40" t="s">
        <v>13</v>
      </c>
      <c r="I317" s="40" t="s">
        <v>14</v>
      </c>
      <c r="J317" s="40" t="s">
        <v>15</v>
      </c>
      <c r="K317" s="40" t="s">
        <v>16</v>
      </c>
      <c r="L317" s="40" t="s">
        <v>17</v>
      </c>
      <c r="M317" s="40" t="s">
        <v>18</v>
      </c>
      <c r="N317" s="40" t="s">
        <v>19</v>
      </c>
      <c r="O317" s="40" t="s">
        <v>20</v>
      </c>
      <c r="P317" s="40" t="s">
        <v>21</v>
      </c>
      <c r="Q317" s="40" t="s">
        <v>22</v>
      </c>
      <c r="R317" s="40" t="s">
        <v>23</v>
      </c>
      <c r="S317" s="23" t="s">
        <v>24</v>
      </c>
      <c r="T317" s="23" t="s">
        <v>25</v>
      </c>
    </row>
    <row r="318" spans="1:20" ht="54.75" customHeight="1" x14ac:dyDescent="0.25">
      <c r="A318" s="172" t="s">
        <v>110</v>
      </c>
      <c r="B318" s="55"/>
      <c r="C318" s="185" t="s">
        <v>111</v>
      </c>
      <c r="D318" s="30"/>
      <c r="E318" s="26">
        <v>2025</v>
      </c>
      <c r="F318" s="27">
        <v>10000</v>
      </c>
      <c r="G318" s="40"/>
      <c r="H318" s="40"/>
      <c r="I318" s="40"/>
      <c r="J318" s="40"/>
      <c r="K318" s="40"/>
      <c r="L318" s="40"/>
      <c r="M318" s="40">
        <v>60755</v>
      </c>
      <c r="N318" s="40"/>
      <c r="O318" s="40">
        <v>67155</v>
      </c>
      <c r="P318" s="40"/>
      <c r="Q318" s="40"/>
      <c r="R318" s="40"/>
      <c r="S318" s="64">
        <f>SUM(G318:R318)</f>
        <v>127910</v>
      </c>
      <c r="T318" s="29">
        <f>SUM(F318*IF(E318=_current_year,_current_month,12)-(S318))</f>
        <v>-7910</v>
      </c>
    </row>
    <row r="319" spans="1:20" ht="54.75" customHeight="1" x14ac:dyDescent="0.25">
      <c r="A319" s="186"/>
      <c r="B319" s="55"/>
      <c r="C319" s="185"/>
      <c r="D319" s="30"/>
      <c r="E319" s="30">
        <v>2024</v>
      </c>
      <c r="F319" s="27">
        <v>5000</v>
      </c>
      <c r="G319" s="40"/>
      <c r="H319" s="40"/>
      <c r="I319" s="40"/>
      <c r="J319" s="40"/>
      <c r="K319" s="40"/>
      <c r="L319" s="40">
        <v>60000</v>
      </c>
      <c r="M319" s="40"/>
      <c r="N319" s="40"/>
      <c r="O319" s="40"/>
      <c r="P319" s="40"/>
      <c r="Q319" s="40"/>
      <c r="R319" s="40"/>
      <c r="S319" s="37">
        <f>SUM(G319:R319)</f>
        <v>60000</v>
      </c>
      <c r="T319" s="22">
        <f>SUM(F319*IF(E319=_current_year,_current_month,12)-(S319))</f>
        <v>0</v>
      </c>
    </row>
    <row r="320" spans="1:20" ht="54.75" customHeight="1" x14ac:dyDescent="0.25">
      <c r="A320" s="186"/>
      <c r="B320" s="55"/>
      <c r="C320" s="185"/>
      <c r="D320" s="30"/>
      <c r="E320" s="30">
        <v>2023</v>
      </c>
      <c r="F320" s="27">
        <v>5000</v>
      </c>
      <c r="G320" s="176"/>
      <c r="H320" s="176"/>
      <c r="I320" s="176"/>
      <c r="J320" s="176"/>
      <c r="K320" s="176"/>
      <c r="L320" s="40"/>
      <c r="M320" s="40"/>
      <c r="N320" s="40"/>
      <c r="O320" s="40"/>
      <c r="P320" s="40"/>
      <c r="Q320" s="40"/>
      <c r="R320" s="40"/>
      <c r="S320" s="37">
        <f>SUM(G320:R320)</f>
        <v>0</v>
      </c>
      <c r="T320" s="22">
        <f>SUM(F320*7)-(S320)</f>
        <v>35000</v>
      </c>
    </row>
    <row r="321" spans="1:20" ht="54.75" customHeight="1" x14ac:dyDescent="0.5">
      <c r="A321" s="186"/>
      <c r="B321" s="33" t="s">
        <v>28</v>
      </c>
      <c r="C321" s="116" t="s">
        <v>112</v>
      </c>
      <c r="D321" s="81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7"/>
      <c r="T321" s="37"/>
    </row>
    <row r="322" spans="1:20" ht="59.25" customHeight="1" x14ac:dyDescent="0.4">
      <c r="A322" s="41" t="s">
        <v>30</v>
      </c>
      <c r="B322" s="14"/>
      <c r="C322" s="80" t="s">
        <v>52</v>
      </c>
      <c r="D322" s="81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</row>
    <row r="323" spans="1:20" ht="32.25" customHeight="1" x14ac:dyDescent="0.4">
      <c r="A323" s="41"/>
      <c r="B323" s="14"/>
      <c r="C323" s="82"/>
      <c r="D323" s="81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</row>
    <row r="324" spans="1:20" ht="37.5" thickBot="1" x14ac:dyDescent="0.45">
      <c r="A324" s="13"/>
      <c r="B324" s="14"/>
      <c r="C324" s="82"/>
      <c r="D324" s="15"/>
      <c r="E324" s="49"/>
      <c r="F324" s="50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183">
        <f>SUM(S319:S323)</f>
        <v>60000</v>
      </c>
      <c r="T324" s="87">
        <f>SUM(T318:T323)</f>
        <v>27090</v>
      </c>
    </row>
    <row r="325" spans="1:20" ht="36.75" x14ac:dyDescent="0.4">
      <c r="A325" s="13"/>
      <c r="B325" s="14"/>
      <c r="C325" s="187"/>
      <c r="D325" s="15"/>
      <c r="E325" s="49"/>
      <c r="F325" s="132"/>
      <c r="G325" s="104"/>
      <c r="H325" s="104"/>
      <c r="I325" s="104"/>
      <c r="J325" s="104"/>
      <c r="K325" s="104"/>
      <c r="L325" s="104"/>
      <c r="M325" s="104"/>
      <c r="N325" s="104"/>
      <c r="O325" s="104"/>
      <c r="P325" s="104"/>
      <c r="Q325" s="104"/>
      <c r="R325" s="104"/>
      <c r="S325" s="105"/>
      <c r="T325"/>
    </row>
    <row r="326" spans="1:20" ht="60" customHeight="1" x14ac:dyDescent="0.25">
      <c r="A326" s="55" t="s">
        <v>31</v>
      </c>
      <c r="B326" s="55" t="s">
        <v>7</v>
      </c>
      <c r="C326" s="30" t="s">
        <v>32</v>
      </c>
      <c r="D326" s="30" t="s">
        <v>33</v>
      </c>
      <c r="E326" s="30" t="s">
        <v>34</v>
      </c>
      <c r="F326" s="21" t="s">
        <v>11</v>
      </c>
      <c r="G326" s="40" t="s">
        <v>12</v>
      </c>
      <c r="H326" s="40" t="s">
        <v>13</v>
      </c>
      <c r="I326" s="40" t="s">
        <v>14</v>
      </c>
      <c r="J326" s="40" t="s">
        <v>15</v>
      </c>
      <c r="K326" s="40" t="s">
        <v>16</v>
      </c>
      <c r="L326" s="40" t="s">
        <v>17</v>
      </c>
      <c r="M326" s="40" t="s">
        <v>18</v>
      </c>
      <c r="N326" s="40" t="s">
        <v>19</v>
      </c>
      <c r="O326" s="40" t="s">
        <v>20</v>
      </c>
      <c r="P326" s="40" t="s">
        <v>21</v>
      </c>
      <c r="Q326" s="40" t="s">
        <v>22</v>
      </c>
      <c r="R326" s="40" t="s">
        <v>23</v>
      </c>
      <c r="S326" s="23" t="s">
        <v>24</v>
      </c>
      <c r="T326" s="23" t="s">
        <v>25</v>
      </c>
    </row>
    <row r="327" spans="1:20" ht="54.75" customHeight="1" x14ac:dyDescent="0.25">
      <c r="A327" s="172" t="s">
        <v>113</v>
      </c>
      <c r="B327" s="55"/>
      <c r="C327" s="185" t="s">
        <v>114</v>
      </c>
      <c r="D327" s="30"/>
      <c r="E327" s="26">
        <v>2025</v>
      </c>
      <c r="F327" s="27">
        <v>10000</v>
      </c>
      <c r="G327" s="40"/>
      <c r="H327" s="40"/>
      <c r="I327" s="176"/>
      <c r="J327" s="40"/>
      <c r="K327" s="40"/>
      <c r="L327" s="40"/>
      <c r="M327" s="40"/>
      <c r="N327" s="40"/>
      <c r="O327" s="40">
        <v>90000</v>
      </c>
      <c r="P327" s="40"/>
      <c r="Q327" s="40"/>
      <c r="R327" s="40"/>
      <c r="S327" s="64">
        <f>SUM(G327:R327)</f>
        <v>90000</v>
      </c>
      <c r="T327" s="29">
        <f>SUM(F327*IF(E327=_current_year,_current_month-3,9)-(S327))</f>
        <v>0</v>
      </c>
    </row>
    <row r="328" spans="1:20" ht="54.75" customHeight="1" x14ac:dyDescent="0.25">
      <c r="A328" s="186"/>
      <c r="B328" s="55"/>
      <c r="C328" s="185"/>
      <c r="D328" s="30"/>
      <c r="E328" s="30">
        <v>2024</v>
      </c>
      <c r="F328" s="27">
        <v>5000</v>
      </c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37">
        <f>SUM(G328:R328)</f>
        <v>0</v>
      </c>
      <c r="T328" s="22"/>
    </row>
    <row r="329" spans="1:20" ht="54.75" customHeight="1" x14ac:dyDescent="0.25">
      <c r="A329" s="186"/>
      <c r="B329" s="55"/>
      <c r="C329" s="185"/>
      <c r="D329" s="30"/>
      <c r="E329" s="30">
        <v>2023</v>
      </c>
      <c r="F329" s="27">
        <v>5000</v>
      </c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37">
        <f>SUM(G329:R329)</f>
        <v>0</v>
      </c>
      <c r="T329" s="22"/>
    </row>
    <row r="330" spans="1:20" ht="54.75" customHeight="1" x14ac:dyDescent="0.5">
      <c r="A330" s="186"/>
      <c r="B330" s="33" t="s">
        <v>28</v>
      </c>
      <c r="D330" s="81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7"/>
      <c r="T330" s="37"/>
    </row>
    <row r="331" spans="1:20" ht="59.25" customHeight="1" x14ac:dyDescent="0.4">
      <c r="A331" s="41" t="s">
        <v>30</v>
      </c>
      <c r="B331" s="14"/>
      <c r="C331" s="80" t="s">
        <v>52</v>
      </c>
      <c r="D331" s="81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</row>
    <row r="332" spans="1:20" ht="32.25" customHeight="1" x14ac:dyDescent="0.4">
      <c r="A332" s="41"/>
      <c r="B332" s="14"/>
      <c r="C332" s="82"/>
      <c r="D332" s="81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</row>
    <row r="333" spans="1:20" ht="37.5" thickBot="1" x14ac:dyDescent="0.45">
      <c r="A333" s="13"/>
      <c r="B333" s="14"/>
      <c r="C333" s="82"/>
      <c r="D333" s="15"/>
      <c r="E333" s="49"/>
      <c r="F333" s="50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183">
        <f>SUM(S328:S332)</f>
        <v>0</v>
      </c>
      <c r="T333" s="87">
        <f>SUM(T327:T332)</f>
        <v>0</v>
      </c>
    </row>
    <row r="334" spans="1:20" ht="36.75" x14ac:dyDescent="0.4">
      <c r="A334" s="13"/>
      <c r="B334" s="14"/>
      <c r="C334" s="187"/>
      <c r="D334" s="15"/>
      <c r="E334" s="49"/>
      <c r="F334" s="132"/>
      <c r="G334" s="104"/>
      <c r="H334" s="104"/>
      <c r="I334" s="104"/>
      <c r="J334" s="104"/>
      <c r="K334" s="104"/>
      <c r="L334" s="104"/>
      <c r="M334" s="104"/>
      <c r="N334" s="104"/>
      <c r="O334" s="104"/>
      <c r="P334" s="104"/>
      <c r="Q334" s="104"/>
      <c r="R334" s="104"/>
      <c r="S334" s="105"/>
      <c r="T334"/>
    </row>
    <row r="335" spans="1:20" ht="36.75" x14ac:dyDescent="0.45">
      <c r="A335" s="13"/>
      <c r="B335" s="14"/>
      <c r="C335" s="14"/>
      <c r="D335" s="15"/>
      <c r="E335" s="14"/>
      <c r="F335" s="16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8"/>
      <c r="T335" s="8"/>
    </row>
    <row r="336" spans="1:20" ht="60" customHeight="1" x14ac:dyDescent="0.25">
      <c r="A336" s="55" t="s">
        <v>31</v>
      </c>
      <c r="B336" s="55" t="s">
        <v>7</v>
      </c>
      <c r="C336" s="188" t="s">
        <v>32</v>
      </c>
      <c r="D336" s="30" t="s">
        <v>33</v>
      </c>
      <c r="E336" s="30" t="s">
        <v>34</v>
      </c>
      <c r="F336" s="21" t="s">
        <v>11</v>
      </c>
      <c r="G336" s="40" t="s">
        <v>12</v>
      </c>
      <c r="H336" s="40" t="s">
        <v>13</v>
      </c>
      <c r="I336" s="40" t="s">
        <v>14</v>
      </c>
      <c r="J336" s="40" t="s">
        <v>15</v>
      </c>
      <c r="K336" s="40" t="s">
        <v>16</v>
      </c>
      <c r="L336" s="40" t="s">
        <v>17</v>
      </c>
      <c r="M336" s="40" t="s">
        <v>18</v>
      </c>
      <c r="N336" s="40" t="s">
        <v>19</v>
      </c>
      <c r="O336" s="40" t="s">
        <v>20</v>
      </c>
      <c r="P336" s="40" t="s">
        <v>21</v>
      </c>
      <c r="Q336" s="40" t="s">
        <v>22</v>
      </c>
      <c r="R336" s="40" t="s">
        <v>23</v>
      </c>
      <c r="S336" s="23" t="s">
        <v>24</v>
      </c>
      <c r="T336" s="23" t="s">
        <v>25</v>
      </c>
    </row>
    <row r="337" spans="1:20" ht="51.75" customHeight="1" x14ac:dyDescent="0.25">
      <c r="A337" s="24">
        <v>17</v>
      </c>
      <c r="B337" s="17"/>
      <c r="C337" s="56" t="s">
        <v>115</v>
      </c>
      <c r="D337" s="19"/>
      <c r="E337" s="26">
        <v>2025</v>
      </c>
      <c r="F337" s="27">
        <v>10000</v>
      </c>
      <c r="G337" s="22"/>
      <c r="H337" s="22"/>
      <c r="I337" s="22"/>
      <c r="J337" s="22"/>
      <c r="K337" s="22"/>
      <c r="L337" s="22"/>
      <c r="M337" s="22">
        <v>70000</v>
      </c>
      <c r="N337" s="22">
        <v>60000</v>
      </c>
      <c r="O337" s="22">
        <v>5000</v>
      </c>
      <c r="P337" s="22"/>
      <c r="Q337" s="22"/>
      <c r="R337" s="22"/>
      <c r="S337" s="64">
        <f t="shared" ref="S337:S347" si="19">SUM(G337:R337)</f>
        <v>135000</v>
      </c>
      <c r="T337" s="29">
        <f>SUM(F337*IF(E337=_current_year,_current_month,12)-(S337))</f>
        <v>-15000</v>
      </c>
    </row>
    <row r="338" spans="1:20" ht="51.75" customHeight="1" x14ac:dyDescent="0.25">
      <c r="A338" s="24"/>
      <c r="B338" s="17"/>
      <c r="C338" s="56"/>
      <c r="D338" s="19"/>
      <c r="E338" s="30">
        <v>2024</v>
      </c>
      <c r="F338" s="27">
        <v>5000</v>
      </c>
      <c r="G338" s="22"/>
      <c r="H338" s="22"/>
      <c r="I338" s="22"/>
      <c r="J338" s="22">
        <v>260000</v>
      </c>
      <c r="K338" s="22"/>
      <c r="L338" s="22"/>
      <c r="M338" s="22"/>
      <c r="N338" s="22"/>
      <c r="O338" s="22"/>
      <c r="P338" s="22"/>
      <c r="Q338" s="22"/>
      <c r="R338" s="22"/>
      <c r="S338" s="37">
        <f t="shared" si="19"/>
        <v>260000</v>
      </c>
      <c r="T338" s="22">
        <f>SUM(F338*IF(E338=_current_year,_current_month,12)-(S338))</f>
        <v>-200000</v>
      </c>
    </row>
    <row r="339" spans="1:20" ht="51.75" customHeight="1" x14ac:dyDescent="0.25">
      <c r="A339" s="24"/>
      <c r="B339" s="17"/>
      <c r="C339" s="76" t="s">
        <v>116</v>
      </c>
      <c r="D339" s="19"/>
      <c r="E339" s="30">
        <v>2023</v>
      </c>
      <c r="F339" s="27">
        <v>5000</v>
      </c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37">
        <f t="shared" si="19"/>
        <v>0</v>
      </c>
      <c r="T339" s="22">
        <f>SUM(F339*12)-(S339)</f>
        <v>60000</v>
      </c>
    </row>
    <row r="340" spans="1:20" ht="59.25" customHeight="1" x14ac:dyDescent="0.5">
      <c r="A340" s="24"/>
      <c r="B340" s="33" t="s">
        <v>28</v>
      </c>
      <c r="C340" s="116" t="s">
        <v>117</v>
      </c>
      <c r="D340" s="35"/>
      <c r="E340" s="30">
        <v>2022</v>
      </c>
      <c r="F340" s="27">
        <v>5000</v>
      </c>
      <c r="G340" s="36"/>
      <c r="H340" s="36"/>
      <c r="I340" s="36"/>
      <c r="J340" s="36"/>
      <c r="K340" s="36"/>
      <c r="L340" s="36">
        <v>150000</v>
      </c>
      <c r="M340" s="36"/>
      <c r="N340" s="36"/>
      <c r="O340" s="36"/>
      <c r="P340" s="36"/>
      <c r="Q340" s="36"/>
      <c r="R340" s="36"/>
      <c r="S340" s="37">
        <f t="shared" si="19"/>
        <v>150000</v>
      </c>
      <c r="T340" s="37">
        <f t="shared" ref="T340:T347" si="20">SUM(60000-S340)</f>
        <v>-90000</v>
      </c>
    </row>
    <row r="341" spans="1:20" ht="59.25" customHeight="1" x14ac:dyDescent="0.4">
      <c r="A341" s="24"/>
      <c r="B341" s="33" t="s">
        <v>28</v>
      </c>
      <c r="C341" s="142"/>
      <c r="D341" s="35"/>
      <c r="E341" s="30">
        <v>2021</v>
      </c>
      <c r="F341" s="27">
        <v>5000</v>
      </c>
      <c r="G341" s="36"/>
      <c r="H341" s="36"/>
      <c r="I341" s="36"/>
      <c r="J341" s="36"/>
      <c r="K341" s="36"/>
      <c r="L341" s="36"/>
      <c r="M341" s="36"/>
      <c r="N341" s="36">
        <v>45000</v>
      </c>
      <c r="O341" s="36"/>
      <c r="P341" s="36"/>
      <c r="Q341" s="36"/>
      <c r="R341" s="36"/>
      <c r="S341" s="37">
        <f t="shared" si="19"/>
        <v>45000</v>
      </c>
      <c r="T341" s="37">
        <f t="shared" si="20"/>
        <v>15000</v>
      </c>
    </row>
    <row r="342" spans="1:20" ht="36.75" customHeight="1" x14ac:dyDescent="0.4">
      <c r="A342" s="41" t="s">
        <v>30</v>
      </c>
      <c r="B342" s="14" t="s">
        <v>28</v>
      </c>
      <c r="C342" s="146"/>
      <c r="D342" s="35" t="s">
        <v>118</v>
      </c>
      <c r="E342" s="30">
        <v>2020</v>
      </c>
      <c r="F342" s="27">
        <v>5000</v>
      </c>
      <c r="G342" s="36">
        <v>60000</v>
      </c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7">
        <f t="shared" si="19"/>
        <v>60000</v>
      </c>
      <c r="T342" s="37">
        <f t="shared" si="20"/>
        <v>0</v>
      </c>
    </row>
    <row r="343" spans="1:20" ht="36.75" customHeight="1" x14ac:dyDescent="0.4">
      <c r="A343" s="41"/>
      <c r="B343" s="14"/>
      <c r="C343" s="38" t="s">
        <v>52</v>
      </c>
      <c r="D343" s="38"/>
      <c r="E343" s="30">
        <v>2019</v>
      </c>
      <c r="F343" s="27">
        <v>5000</v>
      </c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7">
        <f t="shared" si="19"/>
        <v>0</v>
      </c>
      <c r="T343" s="37">
        <f t="shared" si="20"/>
        <v>60000</v>
      </c>
    </row>
    <row r="344" spans="1:20" ht="36.75" x14ac:dyDescent="0.4">
      <c r="A344" s="127"/>
      <c r="B344" s="14"/>
      <c r="C344" s="38"/>
      <c r="D344" s="38"/>
      <c r="E344" s="30">
        <v>2018</v>
      </c>
      <c r="F344" s="27">
        <v>5000</v>
      </c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7">
        <f t="shared" si="19"/>
        <v>0</v>
      </c>
      <c r="T344" s="37">
        <f t="shared" si="20"/>
        <v>60000</v>
      </c>
    </row>
    <row r="345" spans="1:20" ht="36.75" x14ac:dyDescent="0.4">
      <c r="A345" s="127"/>
      <c r="B345" s="14"/>
      <c r="C345" s="38"/>
      <c r="D345" s="38"/>
      <c r="E345" s="30">
        <v>2017</v>
      </c>
      <c r="F345" s="27">
        <v>5000</v>
      </c>
      <c r="G345" s="44">
        <v>5000</v>
      </c>
      <c r="H345" s="44">
        <v>5000</v>
      </c>
      <c r="I345" s="44">
        <v>5000</v>
      </c>
      <c r="J345" s="44">
        <v>5000</v>
      </c>
      <c r="K345" s="44">
        <v>5000</v>
      </c>
      <c r="L345" s="44">
        <v>5000</v>
      </c>
      <c r="M345" s="44">
        <v>5000</v>
      </c>
      <c r="N345" s="44">
        <v>5000</v>
      </c>
      <c r="O345" s="40"/>
      <c r="P345" s="40"/>
      <c r="Q345" s="40"/>
      <c r="R345" s="40"/>
      <c r="S345" s="37">
        <f t="shared" si="19"/>
        <v>40000</v>
      </c>
      <c r="T345" s="37">
        <f t="shared" si="20"/>
        <v>20000</v>
      </c>
    </row>
    <row r="346" spans="1:20" ht="36.75" x14ac:dyDescent="0.4">
      <c r="A346" s="127"/>
      <c r="B346" s="14"/>
      <c r="C346" s="38"/>
      <c r="D346" s="38"/>
      <c r="E346" s="30">
        <v>2016</v>
      </c>
      <c r="F346" s="27">
        <v>5000</v>
      </c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37">
        <f t="shared" si="19"/>
        <v>0</v>
      </c>
      <c r="T346" s="37">
        <f t="shared" si="20"/>
        <v>60000</v>
      </c>
    </row>
    <row r="347" spans="1:20" ht="36.75" x14ac:dyDescent="0.4">
      <c r="A347" s="128"/>
      <c r="B347" s="14"/>
      <c r="C347" s="38"/>
      <c r="D347" s="38"/>
      <c r="E347" s="30">
        <v>2015</v>
      </c>
      <c r="F347" s="27">
        <v>5000</v>
      </c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37">
        <f t="shared" si="19"/>
        <v>0</v>
      </c>
      <c r="T347" s="37">
        <f t="shared" si="20"/>
        <v>60000</v>
      </c>
    </row>
    <row r="348" spans="1:20" ht="37.5" thickBot="1" x14ac:dyDescent="0.45">
      <c r="A348" s="13"/>
      <c r="B348" s="14"/>
      <c r="C348" s="14"/>
      <c r="D348" s="15"/>
      <c r="E348" s="49"/>
      <c r="F348" s="50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183">
        <f>SUM(S337:S347)</f>
        <v>690000</v>
      </c>
      <c r="T348" s="87">
        <f>SUM(T337:T347)</f>
        <v>30000</v>
      </c>
    </row>
    <row r="349" spans="1:20" ht="36.75" x14ac:dyDescent="0.45">
      <c r="A349" s="13"/>
      <c r="B349" s="14"/>
      <c r="C349" s="14"/>
      <c r="D349" s="15"/>
      <c r="E349" s="14"/>
      <c r="F349" s="16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8"/>
      <c r="T349" s="8"/>
    </row>
    <row r="350" spans="1:20" ht="36.75" x14ac:dyDescent="0.45">
      <c r="A350" s="13"/>
      <c r="B350" s="14"/>
      <c r="C350" s="14"/>
      <c r="D350" s="15"/>
      <c r="E350" s="14"/>
      <c r="F350" s="16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8"/>
      <c r="T350" s="8"/>
    </row>
    <row r="351" spans="1:20" ht="60" customHeight="1" x14ac:dyDescent="0.25">
      <c r="A351" s="55" t="s">
        <v>31</v>
      </c>
      <c r="B351" s="55" t="s">
        <v>7</v>
      </c>
      <c r="C351" s="30" t="s">
        <v>32</v>
      </c>
      <c r="D351" s="30" t="s">
        <v>33</v>
      </c>
      <c r="E351" s="30" t="s">
        <v>34</v>
      </c>
      <c r="F351" s="21" t="s">
        <v>11</v>
      </c>
      <c r="G351" s="40" t="s">
        <v>12</v>
      </c>
      <c r="H351" s="40" t="s">
        <v>13</v>
      </c>
      <c r="I351" s="40" t="s">
        <v>14</v>
      </c>
      <c r="J351" s="40" t="s">
        <v>15</v>
      </c>
      <c r="K351" s="40" t="s">
        <v>16</v>
      </c>
      <c r="L351" s="40" t="s">
        <v>17</v>
      </c>
      <c r="M351" s="40" t="s">
        <v>18</v>
      </c>
      <c r="N351" s="40" t="s">
        <v>19</v>
      </c>
      <c r="O351" s="40" t="s">
        <v>20</v>
      </c>
      <c r="P351" s="40" t="s">
        <v>21</v>
      </c>
      <c r="Q351" s="40" t="s">
        <v>22</v>
      </c>
      <c r="R351" s="40" t="s">
        <v>23</v>
      </c>
      <c r="S351" s="23" t="s">
        <v>24</v>
      </c>
      <c r="T351" s="23" t="s">
        <v>25</v>
      </c>
    </row>
    <row r="352" spans="1:20" ht="55.15" customHeight="1" x14ac:dyDescent="0.6">
      <c r="A352" s="172" t="s">
        <v>119</v>
      </c>
      <c r="B352" s="17"/>
      <c r="C352" s="56" t="s">
        <v>120</v>
      </c>
      <c r="D352" s="19"/>
      <c r="E352" s="26">
        <v>2026</v>
      </c>
      <c r="F352" s="27">
        <v>10000</v>
      </c>
      <c r="G352" s="22"/>
      <c r="H352" s="22"/>
      <c r="I352" s="22"/>
      <c r="J352" s="189"/>
      <c r="K352" s="22"/>
      <c r="L352" s="22"/>
      <c r="M352" s="22"/>
      <c r="N352" s="22"/>
      <c r="O352" s="22"/>
      <c r="P352" s="22"/>
      <c r="Q352" s="22"/>
      <c r="R352" s="22"/>
      <c r="S352" s="64">
        <f t="shared" ref="S352:S358" si="21">SUM(G352:R352)</f>
        <v>0</v>
      </c>
      <c r="T352" s="29">
        <f ca="1">SUM(F352*IF(E352=_current_year,_current_month,12)-(S352))</f>
        <v>10000</v>
      </c>
    </row>
    <row r="353" spans="1:20" ht="55.15" customHeight="1" x14ac:dyDescent="0.6">
      <c r="A353" s="172"/>
      <c r="B353" s="17"/>
      <c r="C353" s="56"/>
      <c r="D353" s="19"/>
      <c r="E353" s="26">
        <v>2025</v>
      </c>
      <c r="F353" s="27">
        <v>10000</v>
      </c>
      <c r="G353" s="22"/>
      <c r="H353" s="22"/>
      <c r="I353" s="22"/>
      <c r="J353" s="189"/>
      <c r="K353" s="22"/>
      <c r="L353" s="22"/>
      <c r="M353" s="22"/>
      <c r="N353" s="22"/>
      <c r="O353" s="153"/>
      <c r="P353" s="22"/>
      <c r="Q353" s="22"/>
      <c r="R353" s="22"/>
      <c r="S353" s="64">
        <f t="shared" ref="S353" si="22">SUM(G353:R353)</f>
        <v>0</v>
      </c>
      <c r="T353" s="29">
        <f>SUM(F353*IF(E353=_current_year,_current_month,12)-(S353))</f>
        <v>120000</v>
      </c>
    </row>
    <row r="354" spans="1:20" ht="55.15" customHeight="1" x14ac:dyDescent="0.6">
      <c r="A354" s="172"/>
      <c r="B354" s="17"/>
      <c r="C354" s="56"/>
      <c r="D354" s="19"/>
      <c r="E354" s="30">
        <v>2024</v>
      </c>
      <c r="F354" s="27">
        <v>5000</v>
      </c>
      <c r="G354" s="22">
        <v>60000</v>
      </c>
      <c r="H354" s="22"/>
      <c r="I354" s="22"/>
      <c r="J354" s="189"/>
      <c r="K354" s="22"/>
      <c r="L354" s="22"/>
      <c r="M354" s="22"/>
      <c r="N354" s="22"/>
      <c r="O354" s="22"/>
      <c r="P354" s="22"/>
      <c r="Q354" s="22"/>
      <c r="R354" s="22">
        <v>120000</v>
      </c>
      <c r="S354" s="37">
        <f t="shared" si="21"/>
        <v>180000</v>
      </c>
      <c r="T354" s="22">
        <f>SUM(F354*IF(E354=_current_year,_current_month,12)-(S354))</f>
        <v>-120000</v>
      </c>
    </row>
    <row r="355" spans="1:20" ht="55.15" customHeight="1" x14ac:dyDescent="0.25">
      <c r="A355" s="172"/>
      <c r="B355" s="17"/>
      <c r="C355" s="56"/>
      <c r="D355" s="19"/>
      <c r="E355" s="30">
        <v>2023</v>
      </c>
      <c r="F355" s="27">
        <v>5000</v>
      </c>
      <c r="G355" s="22"/>
      <c r="H355" s="22"/>
      <c r="I355" s="22"/>
      <c r="J355" s="22">
        <v>60000</v>
      </c>
      <c r="K355" s="22"/>
      <c r="L355" s="22"/>
      <c r="M355" s="22"/>
      <c r="N355" s="22"/>
      <c r="O355" s="22"/>
      <c r="P355" s="22"/>
      <c r="Q355" s="22"/>
      <c r="R355" s="22"/>
      <c r="S355" s="37">
        <f t="shared" si="21"/>
        <v>60000</v>
      </c>
      <c r="T355" s="22">
        <f>SUM(F355*12)-(S355)</f>
        <v>0</v>
      </c>
    </row>
    <row r="356" spans="1:20" ht="55.15" customHeight="1" x14ac:dyDescent="0.4">
      <c r="A356" s="172"/>
      <c r="B356" s="33" t="s">
        <v>28</v>
      </c>
      <c r="C356" s="56"/>
      <c r="D356" s="35"/>
      <c r="E356" s="30">
        <v>2022</v>
      </c>
      <c r="F356" s="27">
        <v>5000</v>
      </c>
      <c r="G356" s="36"/>
      <c r="H356" s="36">
        <v>60000</v>
      </c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7">
        <f t="shared" si="21"/>
        <v>60000</v>
      </c>
      <c r="T356" s="37">
        <f>SUM(60000-S356)</f>
        <v>0</v>
      </c>
    </row>
    <row r="357" spans="1:20" ht="55.15" customHeight="1" x14ac:dyDescent="0.4">
      <c r="A357" s="41" t="s">
        <v>30</v>
      </c>
      <c r="B357" s="33" t="s">
        <v>28</v>
      </c>
      <c r="C357" s="80" t="s">
        <v>52</v>
      </c>
      <c r="D357" s="80"/>
      <c r="E357" s="30">
        <v>2021</v>
      </c>
      <c r="F357" s="27">
        <v>5000</v>
      </c>
      <c r="G357" s="36">
        <v>60000</v>
      </c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7">
        <f t="shared" si="21"/>
        <v>60000</v>
      </c>
      <c r="T357" s="37">
        <f>SUM(60000-S357)</f>
        <v>0</v>
      </c>
    </row>
    <row r="358" spans="1:20" ht="36.75" customHeight="1" x14ac:dyDescent="0.4">
      <c r="A358" s="41"/>
      <c r="B358" s="14" t="s">
        <v>28</v>
      </c>
      <c r="C358" s="80"/>
      <c r="D358" s="80"/>
      <c r="E358" s="30">
        <v>2020</v>
      </c>
      <c r="F358" s="27">
        <v>5000</v>
      </c>
      <c r="G358" s="36">
        <v>5000</v>
      </c>
      <c r="H358" s="44">
        <v>5000</v>
      </c>
      <c r="I358" s="44">
        <v>5000</v>
      </c>
      <c r="J358" s="44">
        <v>5000</v>
      </c>
      <c r="K358" s="94">
        <v>60000</v>
      </c>
      <c r="L358" s="44"/>
      <c r="M358" s="33"/>
      <c r="N358" s="33"/>
      <c r="O358" s="33"/>
      <c r="P358" s="33"/>
      <c r="Q358" s="33"/>
      <c r="R358" s="33"/>
      <c r="S358" s="37">
        <f t="shared" si="21"/>
        <v>80000</v>
      </c>
      <c r="T358" s="190">
        <f>SUM(60000-S358)</f>
        <v>-20000</v>
      </c>
    </row>
    <row r="359" spans="1:20" ht="36.75" customHeight="1" x14ac:dyDescent="0.4">
      <c r="A359" s="180"/>
      <c r="B359" s="14"/>
      <c r="C359" s="80"/>
      <c r="D359" s="80"/>
      <c r="E359" s="30">
        <v>2019</v>
      </c>
      <c r="F359" s="27">
        <v>5000</v>
      </c>
      <c r="G359" s="44"/>
      <c r="H359" s="44"/>
      <c r="I359" s="44"/>
      <c r="J359" s="191">
        <v>5000</v>
      </c>
      <c r="K359" s="44">
        <v>5000</v>
      </c>
      <c r="L359" s="44">
        <v>5000</v>
      </c>
      <c r="M359" s="44">
        <v>5000</v>
      </c>
      <c r="N359" s="44">
        <v>5000</v>
      </c>
      <c r="O359" s="44">
        <v>5000</v>
      </c>
      <c r="P359" s="44">
        <v>5000</v>
      </c>
      <c r="Q359" s="44">
        <v>5000</v>
      </c>
      <c r="R359" s="44">
        <v>5000</v>
      </c>
      <c r="S359" s="37">
        <f>SUM(J359:R359)</f>
        <v>45000</v>
      </c>
      <c r="T359" s="37">
        <f>SUM(45000-S359)</f>
        <v>0</v>
      </c>
    </row>
    <row r="360" spans="1:20" ht="37.5" thickBot="1" x14ac:dyDescent="0.45">
      <c r="A360" s="13"/>
      <c r="B360" s="14"/>
      <c r="C360" s="80"/>
      <c r="D360" s="80"/>
      <c r="E360" s="49"/>
      <c r="F360" s="50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2">
        <f>SUM(S352:S359)</f>
        <v>485000</v>
      </c>
      <c r="T360" s="87">
        <f ca="1">SUM(T352:T359)</f>
        <v>-10000</v>
      </c>
    </row>
    <row r="361" spans="1:20" ht="36.75" x14ac:dyDescent="0.45">
      <c r="A361" s="13"/>
      <c r="B361" s="14"/>
      <c r="C361" s="14"/>
      <c r="D361" s="15"/>
      <c r="E361" s="14"/>
      <c r="F361" s="16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8"/>
      <c r="T361" s="8"/>
    </row>
    <row r="362" spans="1:20" ht="36.75" x14ac:dyDescent="0.45">
      <c r="A362" s="13"/>
      <c r="B362" s="14"/>
      <c r="C362" s="14"/>
      <c r="D362" s="15"/>
      <c r="E362" s="14"/>
      <c r="F362" s="16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8"/>
      <c r="T362" s="8"/>
    </row>
    <row r="363" spans="1:20" ht="36.75" x14ac:dyDescent="0.45">
      <c r="A363" s="13"/>
      <c r="B363" s="14"/>
      <c r="C363" s="14"/>
      <c r="D363" s="15"/>
      <c r="E363" s="14"/>
      <c r="F363" s="16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8"/>
      <c r="T363" s="8"/>
    </row>
    <row r="364" spans="1:20" ht="36.75" x14ac:dyDescent="0.45">
      <c r="A364" s="13"/>
      <c r="B364" s="14"/>
      <c r="C364" s="14"/>
      <c r="D364" s="15"/>
      <c r="E364" s="14"/>
      <c r="F364" s="16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8"/>
      <c r="T364" s="8"/>
    </row>
    <row r="365" spans="1:20" ht="36.75" x14ac:dyDescent="0.45">
      <c r="A365" s="13"/>
      <c r="B365" s="14"/>
      <c r="C365" s="14"/>
      <c r="D365" s="15"/>
      <c r="E365" s="14"/>
      <c r="F365" s="16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8"/>
      <c r="T365" s="8"/>
    </row>
    <row r="366" spans="1:20" ht="60" customHeight="1" x14ac:dyDescent="0.25">
      <c r="A366" s="55" t="s">
        <v>31</v>
      </c>
      <c r="B366" s="55" t="s">
        <v>7</v>
      </c>
      <c r="C366" s="30" t="s">
        <v>32</v>
      </c>
      <c r="D366" s="30" t="s">
        <v>33</v>
      </c>
      <c r="E366" s="30" t="s">
        <v>34</v>
      </c>
      <c r="F366" s="21" t="s">
        <v>11</v>
      </c>
      <c r="G366" s="40" t="s">
        <v>12</v>
      </c>
      <c r="H366" s="40" t="s">
        <v>13</v>
      </c>
      <c r="I366" s="40" t="s">
        <v>14</v>
      </c>
      <c r="J366" s="40" t="s">
        <v>15</v>
      </c>
      <c r="K366" s="40" t="s">
        <v>16</v>
      </c>
      <c r="L366" s="40" t="s">
        <v>17</v>
      </c>
      <c r="M366" s="40" t="s">
        <v>18</v>
      </c>
      <c r="N366" s="40" t="s">
        <v>19</v>
      </c>
      <c r="O366" s="40" t="s">
        <v>20</v>
      </c>
      <c r="P366" s="40" t="s">
        <v>21</v>
      </c>
      <c r="Q366" s="40" t="s">
        <v>22</v>
      </c>
      <c r="R366" s="40" t="s">
        <v>23</v>
      </c>
      <c r="S366" s="23" t="s">
        <v>24</v>
      </c>
      <c r="T366" s="23" t="s">
        <v>25</v>
      </c>
    </row>
    <row r="367" spans="1:20" ht="45" customHeight="1" x14ac:dyDescent="0.25">
      <c r="A367" s="24">
        <v>19</v>
      </c>
      <c r="B367" s="17"/>
      <c r="C367" s="25" t="s">
        <v>121</v>
      </c>
      <c r="D367" s="19" t="str">
        <f ca="1">ojok19_name</f>
        <v>FELIX EWANSIHA</v>
      </c>
      <c r="E367" s="26">
        <v>2025</v>
      </c>
      <c r="F367" s="27">
        <v>10000</v>
      </c>
      <c r="G367" s="22"/>
      <c r="H367" s="22"/>
      <c r="I367" s="22"/>
      <c r="J367" s="22"/>
      <c r="K367" s="22"/>
      <c r="L367" s="22"/>
      <c r="M367" s="22"/>
      <c r="N367" s="22"/>
      <c r="O367" s="22">
        <v>120000</v>
      </c>
      <c r="P367" s="22"/>
      <c r="Q367" s="22"/>
      <c r="R367" s="22"/>
      <c r="S367" s="64">
        <f t="shared" ref="S367:S377" si="23">SUM(G367:R367)</f>
        <v>120000</v>
      </c>
      <c r="T367" s="29">
        <f>SUM(F367*IF(E367=_current_year,_current_month,12)-(S367))</f>
        <v>0</v>
      </c>
    </row>
    <row r="368" spans="1:20" ht="45" customHeight="1" x14ac:dyDescent="0.25">
      <c r="A368" s="24"/>
      <c r="B368" s="17"/>
      <c r="C368" s="25"/>
      <c r="D368" s="19"/>
      <c r="E368" s="30">
        <v>2024</v>
      </c>
      <c r="F368" s="27">
        <v>5000</v>
      </c>
      <c r="G368" s="22"/>
      <c r="H368" s="22"/>
      <c r="I368" s="22">
        <v>60000</v>
      </c>
      <c r="J368" s="22"/>
      <c r="K368" s="22"/>
      <c r="L368" s="22"/>
      <c r="M368" s="22"/>
      <c r="N368" s="22"/>
      <c r="O368" s="22"/>
      <c r="P368" s="22"/>
      <c r="Q368" s="22"/>
      <c r="R368" s="22"/>
      <c r="S368" s="37">
        <f t="shared" si="23"/>
        <v>60000</v>
      </c>
      <c r="T368" s="22">
        <f>SUM(F368*IF(E368=_current_year,_current_month,12)-(S368))</f>
        <v>0</v>
      </c>
    </row>
    <row r="369" spans="1:20" ht="45" customHeight="1" x14ac:dyDescent="0.4">
      <c r="A369" s="24"/>
      <c r="B369" s="17"/>
      <c r="C369" s="34" t="s">
        <v>122</v>
      </c>
      <c r="D369" s="19"/>
      <c r="E369" s="30">
        <v>2023</v>
      </c>
      <c r="F369" s="27">
        <v>5000</v>
      </c>
      <c r="G369" s="22"/>
      <c r="H369" s="22"/>
      <c r="I369" s="22"/>
      <c r="J369" s="22">
        <v>120000</v>
      </c>
      <c r="K369" s="22"/>
      <c r="L369" s="22"/>
      <c r="M369" s="22"/>
      <c r="N369" s="22"/>
      <c r="O369" s="22"/>
      <c r="P369" s="22"/>
      <c r="Q369" s="22"/>
      <c r="R369" s="22"/>
      <c r="S369" s="37">
        <f t="shared" si="23"/>
        <v>120000</v>
      </c>
      <c r="T369" s="22">
        <f>SUM(F369*12)-(S369)</f>
        <v>-60000</v>
      </c>
    </row>
    <row r="370" spans="1:20" ht="45" customHeight="1" x14ac:dyDescent="0.5">
      <c r="A370" s="24"/>
      <c r="B370" s="33" t="s">
        <v>28</v>
      </c>
      <c r="D370" s="35"/>
      <c r="E370" s="30">
        <v>2022</v>
      </c>
      <c r="F370" s="27">
        <v>5000</v>
      </c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7">
        <f t="shared" si="23"/>
        <v>0</v>
      </c>
      <c r="T370" s="37">
        <f t="shared" ref="T370:T377" si="24">SUM(60000-S370)</f>
        <v>60000</v>
      </c>
    </row>
    <row r="371" spans="1:20" ht="45" customHeight="1" x14ac:dyDescent="0.4">
      <c r="A371" s="24"/>
      <c r="B371" s="33" t="s">
        <v>28</v>
      </c>
      <c r="C371" s="38" t="s">
        <v>52</v>
      </c>
      <c r="D371" s="38"/>
      <c r="E371" s="30">
        <v>2021</v>
      </c>
      <c r="F371" s="27">
        <v>5000</v>
      </c>
      <c r="G371" s="36"/>
      <c r="H371" s="36"/>
      <c r="I371" s="36"/>
      <c r="J371" s="36"/>
      <c r="K371" s="36"/>
      <c r="L371" s="36"/>
      <c r="M371" s="36"/>
      <c r="N371" s="36"/>
      <c r="O371" s="36">
        <v>60000</v>
      </c>
      <c r="P371" s="36"/>
      <c r="Q371" s="36"/>
      <c r="R371" s="36"/>
      <c r="S371" s="37">
        <f t="shared" si="23"/>
        <v>60000</v>
      </c>
      <c r="T371" s="37">
        <f t="shared" si="24"/>
        <v>0</v>
      </c>
    </row>
    <row r="372" spans="1:20" ht="45" customHeight="1" x14ac:dyDescent="0.4">
      <c r="A372" s="24"/>
      <c r="B372" s="14" t="s">
        <v>28</v>
      </c>
      <c r="C372" s="38"/>
      <c r="D372" s="38"/>
      <c r="E372" s="30">
        <v>2020</v>
      </c>
      <c r="F372" s="27">
        <v>5000</v>
      </c>
      <c r="G372" s="36"/>
      <c r="H372" s="36"/>
      <c r="I372" s="36"/>
      <c r="J372" s="36"/>
      <c r="K372" s="36">
        <v>60000</v>
      </c>
      <c r="L372" s="36"/>
      <c r="M372" s="36"/>
      <c r="N372" s="36"/>
      <c r="O372" s="36"/>
      <c r="P372" s="36"/>
      <c r="Q372" s="36"/>
      <c r="R372" s="36"/>
      <c r="S372" s="37">
        <f t="shared" si="23"/>
        <v>60000</v>
      </c>
      <c r="T372" s="37">
        <f t="shared" si="24"/>
        <v>0</v>
      </c>
    </row>
    <row r="373" spans="1:20" ht="45" customHeight="1" x14ac:dyDescent="0.4">
      <c r="A373" s="24"/>
      <c r="B373" s="14"/>
      <c r="C373" s="38"/>
      <c r="D373" s="38"/>
      <c r="E373" s="30">
        <v>2019</v>
      </c>
      <c r="F373" s="27">
        <v>5000</v>
      </c>
      <c r="G373" s="44">
        <v>5000</v>
      </c>
      <c r="H373" s="44">
        <v>5000</v>
      </c>
      <c r="I373" s="44">
        <v>5000</v>
      </c>
      <c r="J373" s="44">
        <v>5000</v>
      </c>
      <c r="K373" s="44">
        <v>5000</v>
      </c>
      <c r="L373" s="44">
        <v>5000</v>
      </c>
      <c r="M373" s="44">
        <v>5000</v>
      </c>
      <c r="N373" s="44">
        <v>5000</v>
      </c>
      <c r="O373" s="44">
        <v>5000</v>
      </c>
      <c r="P373" s="44">
        <v>5000</v>
      </c>
      <c r="Q373" s="44">
        <v>5000</v>
      </c>
      <c r="R373" s="44">
        <v>5000</v>
      </c>
      <c r="S373" s="37">
        <f t="shared" si="23"/>
        <v>60000</v>
      </c>
      <c r="T373" s="37">
        <f t="shared" si="24"/>
        <v>0</v>
      </c>
    </row>
    <row r="374" spans="1:20" ht="45" customHeight="1" x14ac:dyDescent="0.4">
      <c r="A374" s="41" t="s">
        <v>30</v>
      </c>
      <c r="B374" s="14"/>
      <c r="C374" s="38"/>
      <c r="D374" s="38"/>
      <c r="E374" s="30">
        <v>2018</v>
      </c>
      <c r="F374" s="27">
        <v>5000</v>
      </c>
      <c r="G374" s="44">
        <v>5000</v>
      </c>
      <c r="H374" s="44">
        <v>5000</v>
      </c>
      <c r="I374" s="44">
        <v>5000</v>
      </c>
      <c r="J374" s="44">
        <v>5000</v>
      </c>
      <c r="K374" s="44">
        <v>5000</v>
      </c>
      <c r="L374" s="44">
        <v>5000</v>
      </c>
      <c r="M374" s="44">
        <v>5000</v>
      </c>
      <c r="N374" s="44">
        <v>5000</v>
      </c>
      <c r="O374" s="44">
        <v>5000</v>
      </c>
      <c r="P374" s="44">
        <v>5000</v>
      </c>
      <c r="Q374" s="44">
        <v>5000</v>
      </c>
      <c r="R374" s="44">
        <v>5000</v>
      </c>
      <c r="S374" s="37">
        <f t="shared" si="23"/>
        <v>60000</v>
      </c>
      <c r="T374" s="37">
        <f t="shared" si="24"/>
        <v>0</v>
      </c>
    </row>
    <row r="375" spans="1:20" ht="45" customHeight="1" x14ac:dyDescent="0.4">
      <c r="A375" s="41"/>
      <c r="B375" s="14"/>
      <c r="C375" s="38"/>
      <c r="D375" s="38"/>
      <c r="E375" s="30">
        <v>2017</v>
      </c>
      <c r="F375" s="27">
        <v>5000</v>
      </c>
      <c r="G375" s="44">
        <v>5000</v>
      </c>
      <c r="H375" s="44">
        <v>5000</v>
      </c>
      <c r="I375" s="44">
        <v>5000</v>
      </c>
      <c r="J375" s="44">
        <v>5000</v>
      </c>
      <c r="K375" s="44">
        <v>5000</v>
      </c>
      <c r="L375" s="44">
        <v>5000</v>
      </c>
      <c r="M375" s="44">
        <v>5000</v>
      </c>
      <c r="N375" s="44">
        <v>5000</v>
      </c>
      <c r="O375" s="44">
        <v>5000</v>
      </c>
      <c r="P375" s="44">
        <v>5000</v>
      </c>
      <c r="Q375" s="44">
        <v>5000</v>
      </c>
      <c r="R375" s="44">
        <v>5000</v>
      </c>
      <c r="S375" s="37">
        <f t="shared" si="23"/>
        <v>60000</v>
      </c>
      <c r="T375" s="37">
        <f t="shared" si="24"/>
        <v>0</v>
      </c>
    </row>
    <row r="376" spans="1:20" ht="45" customHeight="1" x14ac:dyDescent="0.4">
      <c r="A376" s="127"/>
      <c r="B376" s="14"/>
      <c r="C376" s="38"/>
      <c r="D376" s="38"/>
      <c r="E376" s="30">
        <v>2016</v>
      </c>
      <c r="F376" s="27">
        <v>5000</v>
      </c>
      <c r="G376" s="44">
        <v>5000</v>
      </c>
      <c r="H376" s="44">
        <v>5000</v>
      </c>
      <c r="I376" s="44">
        <v>5000</v>
      </c>
      <c r="J376" s="44">
        <v>5000</v>
      </c>
      <c r="K376" s="44">
        <v>5000</v>
      </c>
      <c r="L376" s="44">
        <v>5000</v>
      </c>
      <c r="M376" s="44">
        <v>5000</v>
      </c>
      <c r="N376" s="44">
        <v>5000</v>
      </c>
      <c r="O376" s="44">
        <v>5000</v>
      </c>
      <c r="P376" s="44">
        <v>5000</v>
      </c>
      <c r="Q376" s="44">
        <v>5000</v>
      </c>
      <c r="R376" s="44">
        <v>5000</v>
      </c>
      <c r="S376" s="37">
        <f t="shared" si="23"/>
        <v>60000</v>
      </c>
      <c r="T376" s="37">
        <f t="shared" si="24"/>
        <v>0</v>
      </c>
    </row>
    <row r="377" spans="1:20" ht="45" customHeight="1" x14ac:dyDescent="0.4">
      <c r="A377" s="128"/>
      <c r="B377" s="14"/>
      <c r="C377" s="38"/>
      <c r="D377" s="38"/>
      <c r="E377" s="30">
        <v>2015</v>
      </c>
      <c r="F377" s="27">
        <v>5000</v>
      </c>
      <c r="G377" s="44">
        <v>5000</v>
      </c>
      <c r="H377" s="44">
        <v>5000</v>
      </c>
      <c r="I377" s="44">
        <v>5000</v>
      </c>
      <c r="J377" s="44">
        <v>5000</v>
      </c>
      <c r="K377" s="44">
        <v>5000</v>
      </c>
      <c r="L377" s="44">
        <v>5000</v>
      </c>
      <c r="M377" s="44">
        <v>5000</v>
      </c>
      <c r="N377" s="44">
        <v>5000</v>
      </c>
      <c r="O377" s="44">
        <v>5000</v>
      </c>
      <c r="P377" s="44">
        <v>5000</v>
      </c>
      <c r="Q377" s="44">
        <v>5000</v>
      </c>
      <c r="R377" s="44">
        <v>5000</v>
      </c>
      <c r="S377" s="37">
        <f t="shared" si="23"/>
        <v>60000</v>
      </c>
      <c r="T377" s="37">
        <f t="shared" si="24"/>
        <v>0</v>
      </c>
    </row>
    <row r="378" spans="1:20" ht="45" customHeight="1" thickBot="1" x14ac:dyDescent="0.45">
      <c r="A378" s="13"/>
      <c r="B378" s="14"/>
      <c r="C378" s="14"/>
      <c r="D378" s="15"/>
      <c r="E378" s="49"/>
      <c r="F378" s="50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183">
        <f>SUM(S367:S377)</f>
        <v>720000</v>
      </c>
      <c r="T378" s="87">
        <f>SUM(T367:T377)</f>
        <v>0</v>
      </c>
    </row>
    <row r="379" spans="1:20" ht="36.75" x14ac:dyDescent="0.45">
      <c r="A379" s="13"/>
      <c r="B379" s="14"/>
      <c r="C379" s="14"/>
      <c r="D379" s="15"/>
      <c r="E379" s="14"/>
      <c r="F379" s="16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8"/>
      <c r="T379" s="8"/>
    </row>
    <row r="380" spans="1:20" ht="60" customHeight="1" x14ac:dyDescent="0.25">
      <c r="A380" s="55" t="s">
        <v>31</v>
      </c>
      <c r="B380" s="55" t="s">
        <v>7</v>
      </c>
      <c r="C380" s="30" t="s">
        <v>32</v>
      </c>
      <c r="D380" s="30" t="s">
        <v>33</v>
      </c>
      <c r="E380" s="30" t="s">
        <v>34</v>
      </c>
      <c r="F380" s="21" t="s">
        <v>11</v>
      </c>
      <c r="G380" s="40" t="s">
        <v>12</v>
      </c>
      <c r="H380" s="40" t="s">
        <v>13</v>
      </c>
      <c r="I380" s="40" t="s">
        <v>14</v>
      </c>
      <c r="J380" s="40" t="s">
        <v>15</v>
      </c>
      <c r="K380" s="40" t="s">
        <v>16</v>
      </c>
      <c r="L380" s="40" t="s">
        <v>17</v>
      </c>
      <c r="M380" s="40" t="s">
        <v>18</v>
      </c>
      <c r="N380" s="40" t="s">
        <v>19</v>
      </c>
      <c r="O380" s="40" t="s">
        <v>20</v>
      </c>
      <c r="P380" s="40" t="s">
        <v>21</v>
      </c>
      <c r="Q380" s="40" t="s">
        <v>22</v>
      </c>
      <c r="R380" s="40" t="s">
        <v>23</v>
      </c>
      <c r="S380" s="23" t="s">
        <v>24</v>
      </c>
      <c r="T380" s="23" t="s">
        <v>25</v>
      </c>
    </row>
    <row r="381" spans="1:20" ht="45" customHeight="1" x14ac:dyDescent="0.25">
      <c r="A381" s="24">
        <v>20</v>
      </c>
      <c r="B381" s="17"/>
      <c r="C381" s="25" t="s">
        <v>123</v>
      </c>
      <c r="D381" s="19" t="str">
        <f ca="1">ojok20_name</f>
        <v>SEGUN PHILIPS</v>
      </c>
      <c r="E381" s="26">
        <v>2025</v>
      </c>
      <c r="F381" s="27">
        <v>10000</v>
      </c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64">
        <f t="shared" ref="S381:S391" si="25">SUM(G381:R381)</f>
        <v>0</v>
      </c>
      <c r="T381" s="29">
        <f>SUM(F381*IF(E381=_current_year,_current_month,12)-(S381))</f>
        <v>120000</v>
      </c>
    </row>
    <row r="382" spans="1:20" ht="45" customHeight="1" x14ac:dyDescent="0.25">
      <c r="A382" s="24"/>
      <c r="B382" s="17"/>
      <c r="C382" s="25"/>
      <c r="D382" s="19"/>
      <c r="E382" s="30">
        <v>2024</v>
      </c>
      <c r="F382" s="27">
        <v>5000</v>
      </c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37">
        <f t="shared" si="25"/>
        <v>0</v>
      </c>
      <c r="T382" s="22">
        <f>SUM(F382*IF(E382=_current_year,_current_month,12)-(S382))</f>
        <v>60000</v>
      </c>
    </row>
    <row r="383" spans="1:20" ht="45" customHeight="1" x14ac:dyDescent="0.25">
      <c r="A383" s="24"/>
      <c r="B383" s="17"/>
      <c r="C383" s="25"/>
      <c r="D383" s="19"/>
      <c r="E383" s="30">
        <v>2023</v>
      </c>
      <c r="F383" s="27">
        <v>5000</v>
      </c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37">
        <f t="shared" si="25"/>
        <v>0</v>
      </c>
      <c r="T383" s="22">
        <f>SUM(F383*12)-(S383)</f>
        <v>60000</v>
      </c>
    </row>
    <row r="384" spans="1:20" ht="45" customHeight="1" x14ac:dyDescent="0.4">
      <c r="A384" s="24"/>
      <c r="B384" s="33" t="s">
        <v>28</v>
      </c>
      <c r="C384" s="25"/>
      <c r="D384" s="35"/>
      <c r="E384" s="30">
        <v>2022</v>
      </c>
      <c r="F384" s="27">
        <v>5000</v>
      </c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7">
        <f t="shared" si="25"/>
        <v>0</v>
      </c>
      <c r="T384" s="37">
        <f>SUM(60000-S384)</f>
        <v>60000</v>
      </c>
    </row>
    <row r="385" spans="1:20" ht="45" customHeight="1" x14ac:dyDescent="0.4">
      <c r="A385" s="24"/>
      <c r="B385" s="33" t="s">
        <v>28</v>
      </c>
      <c r="C385" s="80" t="s">
        <v>52</v>
      </c>
      <c r="D385" s="80"/>
      <c r="E385" s="30">
        <v>2021</v>
      </c>
      <c r="F385" s="27">
        <v>5000</v>
      </c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7">
        <f t="shared" si="25"/>
        <v>0</v>
      </c>
      <c r="T385" s="37">
        <f>SUM(36000-S385)</f>
        <v>36000</v>
      </c>
    </row>
    <row r="386" spans="1:20" ht="45" customHeight="1" x14ac:dyDescent="0.4">
      <c r="A386" s="24"/>
      <c r="B386" s="14" t="s">
        <v>28</v>
      </c>
      <c r="C386" s="80"/>
      <c r="D386" s="80"/>
      <c r="E386" s="30">
        <v>2020</v>
      </c>
      <c r="F386" s="27">
        <v>5000</v>
      </c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7">
        <f t="shared" si="25"/>
        <v>0</v>
      </c>
      <c r="T386" s="37">
        <f t="shared" ref="T386:T391" si="26">SUM(60000-S386)</f>
        <v>60000</v>
      </c>
    </row>
    <row r="387" spans="1:20" ht="45" customHeight="1" x14ac:dyDescent="0.4">
      <c r="A387" s="24"/>
      <c r="B387" s="14"/>
      <c r="C387" s="80"/>
      <c r="D387" s="80"/>
      <c r="E387" s="30">
        <v>2019</v>
      </c>
      <c r="F387" s="27">
        <v>5000</v>
      </c>
      <c r="G387" s="44"/>
      <c r="H387" s="44" t="s">
        <v>59</v>
      </c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37">
        <f t="shared" si="25"/>
        <v>0</v>
      </c>
      <c r="T387" s="37">
        <f t="shared" si="26"/>
        <v>60000</v>
      </c>
    </row>
    <row r="388" spans="1:20" ht="45" customHeight="1" x14ac:dyDescent="0.4">
      <c r="A388" s="41" t="s">
        <v>30</v>
      </c>
      <c r="B388" s="14"/>
      <c r="C388" s="80"/>
      <c r="D388" s="80"/>
      <c r="E388" s="30">
        <v>2018</v>
      </c>
      <c r="F388" s="27">
        <v>5000</v>
      </c>
      <c r="G388" s="44">
        <v>3000</v>
      </c>
      <c r="H388" s="44">
        <v>3000</v>
      </c>
      <c r="I388" s="44">
        <v>3000</v>
      </c>
      <c r="J388" s="44">
        <v>3000</v>
      </c>
      <c r="K388" s="44">
        <v>3000</v>
      </c>
      <c r="L388" s="44">
        <v>3000</v>
      </c>
      <c r="M388" s="44">
        <v>3000</v>
      </c>
      <c r="N388" s="44">
        <v>3000</v>
      </c>
      <c r="O388" s="44">
        <v>3000</v>
      </c>
      <c r="P388" s="44">
        <v>3000</v>
      </c>
      <c r="Q388" s="44">
        <v>3000</v>
      </c>
      <c r="R388" s="44">
        <v>500</v>
      </c>
      <c r="S388" s="37">
        <f t="shared" si="25"/>
        <v>33500</v>
      </c>
      <c r="T388" s="37">
        <f t="shared" si="26"/>
        <v>26500</v>
      </c>
    </row>
    <row r="389" spans="1:20" ht="45" customHeight="1" x14ac:dyDescent="0.4">
      <c r="A389" s="41"/>
      <c r="B389" s="14"/>
      <c r="C389" s="80"/>
      <c r="D389" s="80"/>
      <c r="E389" s="30">
        <v>2017</v>
      </c>
      <c r="F389" s="27">
        <v>5000</v>
      </c>
      <c r="G389" s="44">
        <v>3000</v>
      </c>
      <c r="H389" s="44">
        <v>3000</v>
      </c>
      <c r="I389" s="44">
        <v>3000</v>
      </c>
      <c r="J389" s="44">
        <v>3000</v>
      </c>
      <c r="K389" s="44">
        <v>3000</v>
      </c>
      <c r="L389" s="44">
        <v>3000</v>
      </c>
      <c r="M389" s="44">
        <v>3000</v>
      </c>
      <c r="N389" s="44">
        <v>3000</v>
      </c>
      <c r="O389" s="44">
        <v>3000</v>
      </c>
      <c r="P389" s="44">
        <v>3000</v>
      </c>
      <c r="Q389" s="44">
        <v>3000</v>
      </c>
      <c r="R389" s="44">
        <v>3000</v>
      </c>
      <c r="S389" s="37">
        <f t="shared" si="25"/>
        <v>36000</v>
      </c>
      <c r="T389" s="37">
        <f t="shared" si="26"/>
        <v>24000</v>
      </c>
    </row>
    <row r="390" spans="1:20" ht="45" customHeight="1" x14ac:dyDescent="0.4">
      <c r="A390" s="127"/>
      <c r="B390" s="14"/>
      <c r="C390" s="80"/>
      <c r="D390" s="80"/>
      <c r="E390" s="30">
        <v>2016</v>
      </c>
      <c r="F390" s="27">
        <v>5000</v>
      </c>
      <c r="G390" s="44">
        <v>3000</v>
      </c>
      <c r="H390" s="44">
        <v>3000</v>
      </c>
      <c r="I390" s="44">
        <v>3000</v>
      </c>
      <c r="J390" s="44">
        <v>3000</v>
      </c>
      <c r="K390" s="44">
        <v>3000</v>
      </c>
      <c r="L390" s="44">
        <v>3000</v>
      </c>
      <c r="M390" s="44">
        <v>3000</v>
      </c>
      <c r="N390" s="44">
        <v>3000</v>
      </c>
      <c r="O390" s="44">
        <v>3000</v>
      </c>
      <c r="P390" s="44">
        <v>3000</v>
      </c>
      <c r="Q390" s="44">
        <v>3000</v>
      </c>
      <c r="R390" s="44">
        <v>3000</v>
      </c>
      <c r="S390" s="37">
        <f t="shared" si="25"/>
        <v>36000</v>
      </c>
      <c r="T390" s="37">
        <f t="shared" si="26"/>
        <v>24000</v>
      </c>
    </row>
    <row r="391" spans="1:20" ht="45" customHeight="1" x14ac:dyDescent="0.4">
      <c r="A391" s="128"/>
      <c r="B391" s="14"/>
      <c r="C391" s="80"/>
      <c r="D391" s="80"/>
      <c r="E391" s="30">
        <v>2015</v>
      </c>
      <c r="F391" s="27">
        <v>5000</v>
      </c>
      <c r="G391" s="44">
        <v>3000</v>
      </c>
      <c r="H391" s="44">
        <v>3000</v>
      </c>
      <c r="I391" s="44">
        <v>3000</v>
      </c>
      <c r="J391" s="44">
        <v>3000</v>
      </c>
      <c r="K391" s="44">
        <v>3000</v>
      </c>
      <c r="L391" s="44">
        <v>3000</v>
      </c>
      <c r="M391" s="44">
        <v>3000</v>
      </c>
      <c r="N391" s="44">
        <v>3000</v>
      </c>
      <c r="O391" s="44">
        <v>3000</v>
      </c>
      <c r="P391" s="44">
        <v>3000</v>
      </c>
      <c r="Q391" s="44">
        <v>3000</v>
      </c>
      <c r="R391" s="44">
        <v>3000</v>
      </c>
      <c r="S391" s="37">
        <f t="shared" si="25"/>
        <v>36000</v>
      </c>
      <c r="T391" s="37">
        <f t="shared" si="26"/>
        <v>24000</v>
      </c>
    </row>
    <row r="392" spans="1:20" ht="45" customHeight="1" thickBot="1" x14ac:dyDescent="0.45">
      <c r="A392" s="13"/>
      <c r="B392" s="14"/>
      <c r="C392" s="14"/>
      <c r="D392" s="15"/>
      <c r="E392" s="49"/>
      <c r="F392" s="50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183">
        <f>SUM(S381:S391)</f>
        <v>141500</v>
      </c>
      <c r="T392" s="87">
        <f>SUM(T381:T391)</f>
        <v>554500</v>
      </c>
    </row>
    <row r="393" spans="1:20" ht="36.75" x14ac:dyDescent="0.45">
      <c r="A393" s="13"/>
      <c r="B393" s="14"/>
      <c r="C393" s="14"/>
      <c r="D393" s="15"/>
      <c r="E393" s="14"/>
      <c r="F393" s="16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8"/>
      <c r="T393" s="8"/>
    </row>
    <row r="394" spans="1:20" ht="60" customHeight="1" x14ac:dyDescent="0.25">
      <c r="A394" s="55" t="s">
        <v>31</v>
      </c>
      <c r="B394" s="55" t="s">
        <v>7</v>
      </c>
      <c r="C394" s="30" t="s">
        <v>32</v>
      </c>
      <c r="D394" s="30" t="s">
        <v>33</v>
      </c>
      <c r="E394" s="30" t="s">
        <v>34</v>
      </c>
      <c r="F394" s="21" t="s">
        <v>11</v>
      </c>
      <c r="G394" s="40" t="s">
        <v>12</v>
      </c>
      <c r="H394" s="40" t="s">
        <v>13</v>
      </c>
      <c r="I394" s="40" t="s">
        <v>14</v>
      </c>
      <c r="J394" s="40" t="s">
        <v>15</v>
      </c>
      <c r="K394" s="40" t="s">
        <v>16</v>
      </c>
      <c r="L394" s="40" t="s">
        <v>17</v>
      </c>
      <c r="M394" s="40" t="s">
        <v>18</v>
      </c>
      <c r="N394" s="40" t="s">
        <v>19</v>
      </c>
      <c r="O394" s="40" t="s">
        <v>20</v>
      </c>
      <c r="P394" s="40" t="s">
        <v>21</v>
      </c>
      <c r="Q394" s="40" t="s">
        <v>22</v>
      </c>
      <c r="R394" s="40" t="s">
        <v>23</v>
      </c>
      <c r="S394" s="23" t="s">
        <v>24</v>
      </c>
      <c r="T394" s="23" t="s">
        <v>25</v>
      </c>
    </row>
    <row r="395" spans="1:20" ht="51.75" customHeight="1" x14ac:dyDescent="0.25">
      <c r="A395" s="54"/>
      <c r="B395" s="17"/>
      <c r="C395" s="56" t="s">
        <v>124</v>
      </c>
      <c r="D395" s="19"/>
      <c r="E395" s="26">
        <v>2025</v>
      </c>
      <c r="F395" s="27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64">
        <f t="shared" ref="S395:S403" si="27">SUM(G395:R395)</f>
        <v>0</v>
      </c>
      <c r="T395" s="29">
        <f>SUM(F395*IF(E395=_current_year,_current_month,12)-(S395))</f>
        <v>0</v>
      </c>
    </row>
    <row r="396" spans="1:20" ht="51.75" customHeight="1" x14ac:dyDescent="0.25">
      <c r="A396" s="172" t="s">
        <v>125</v>
      </c>
      <c r="B396" s="17"/>
      <c r="C396" s="56"/>
      <c r="D396" s="19"/>
      <c r="E396" s="30"/>
      <c r="F396" s="27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37">
        <f t="shared" si="27"/>
        <v>0</v>
      </c>
      <c r="T396" s="22">
        <f>SUM(F396*IF(E396=_current_year,_current_month,12)-(S396))</f>
        <v>0</v>
      </c>
    </row>
    <row r="397" spans="1:20" ht="51.75" customHeight="1" x14ac:dyDescent="0.25">
      <c r="A397" s="172"/>
      <c r="B397" s="17"/>
      <c r="C397" s="56"/>
      <c r="D397" s="19"/>
      <c r="E397" s="30"/>
      <c r="F397" s="27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37">
        <f t="shared" si="27"/>
        <v>0</v>
      </c>
      <c r="T397" s="22">
        <f>SUM(F397*12)-(S397)</f>
        <v>0</v>
      </c>
    </row>
    <row r="398" spans="1:20" ht="36.75" customHeight="1" x14ac:dyDescent="0.4">
      <c r="A398" s="172"/>
      <c r="B398" s="33" t="s">
        <v>28</v>
      </c>
      <c r="C398" s="56"/>
      <c r="D398" s="35"/>
      <c r="E398" s="30"/>
      <c r="F398" s="27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7">
        <f t="shared" si="27"/>
        <v>0</v>
      </c>
      <c r="T398" s="22">
        <f t="shared" ref="T398:T403" si="28">SUM(F398*12)-(S398)</f>
        <v>0</v>
      </c>
    </row>
    <row r="399" spans="1:20" ht="59.25" customHeight="1" x14ac:dyDescent="0.4">
      <c r="A399" s="172"/>
      <c r="B399" s="33" t="s">
        <v>28</v>
      </c>
      <c r="C399" s="133" t="s">
        <v>52</v>
      </c>
      <c r="D399" s="192"/>
      <c r="E399" s="30"/>
      <c r="F399" s="27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7">
        <f t="shared" si="27"/>
        <v>0</v>
      </c>
      <c r="T399" s="22">
        <f t="shared" si="28"/>
        <v>0</v>
      </c>
    </row>
    <row r="400" spans="1:20" ht="36.75" customHeight="1" x14ac:dyDescent="0.4">
      <c r="A400" s="41" t="s">
        <v>30</v>
      </c>
      <c r="B400" s="14" t="s">
        <v>28</v>
      </c>
      <c r="C400" s="133"/>
      <c r="D400" s="193"/>
      <c r="E400" s="30"/>
      <c r="F400" s="27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7">
        <f t="shared" si="27"/>
        <v>0</v>
      </c>
      <c r="T400" s="22">
        <f t="shared" si="28"/>
        <v>0</v>
      </c>
    </row>
    <row r="401" spans="1:20" ht="36.75" customHeight="1" x14ac:dyDescent="0.4">
      <c r="A401" s="41"/>
      <c r="B401" s="14"/>
      <c r="C401" s="133"/>
      <c r="D401" s="59"/>
      <c r="E401" s="30"/>
      <c r="F401" s="27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37">
        <f t="shared" si="27"/>
        <v>0</v>
      </c>
      <c r="T401" s="22">
        <f t="shared" si="28"/>
        <v>0</v>
      </c>
    </row>
    <row r="402" spans="1:20" ht="36.75" customHeight="1" x14ac:dyDescent="0.4">
      <c r="A402" s="180"/>
      <c r="B402" s="14"/>
      <c r="C402" s="133"/>
      <c r="D402" s="61"/>
      <c r="E402" s="30"/>
      <c r="F402" s="27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37">
        <f t="shared" si="27"/>
        <v>0</v>
      </c>
      <c r="T402" s="22">
        <f t="shared" si="28"/>
        <v>0</v>
      </c>
    </row>
    <row r="403" spans="1:20" ht="36.75" x14ac:dyDescent="0.4">
      <c r="A403" s="127"/>
      <c r="B403" s="14"/>
      <c r="C403" s="133"/>
      <c r="D403" s="61"/>
      <c r="E403" s="30"/>
      <c r="F403" s="27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37">
        <f t="shared" si="27"/>
        <v>0</v>
      </c>
      <c r="T403" s="22">
        <f t="shared" si="28"/>
        <v>0</v>
      </c>
    </row>
    <row r="404" spans="1:20" ht="37.5" thickBot="1" x14ac:dyDescent="0.45">
      <c r="A404" s="13"/>
      <c r="B404" s="14"/>
      <c r="C404" s="14"/>
      <c r="D404" s="15"/>
      <c r="E404" s="49"/>
      <c r="F404" s="50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183">
        <f>SUM(S396:S403)</f>
        <v>0</v>
      </c>
      <c r="T404" s="87">
        <f>SUM(T396:T403)</f>
        <v>0</v>
      </c>
    </row>
    <row r="405" spans="1:20" ht="36.75" x14ac:dyDescent="0.45">
      <c r="A405" s="13"/>
      <c r="B405" s="14"/>
      <c r="C405" s="14"/>
      <c r="D405" s="15"/>
      <c r="E405" s="14"/>
      <c r="F405" s="16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8"/>
      <c r="T405" s="8"/>
    </row>
    <row r="406" spans="1:20" ht="60" customHeight="1" x14ac:dyDescent="0.25">
      <c r="A406" s="55" t="s">
        <v>31</v>
      </c>
      <c r="B406" s="55" t="s">
        <v>7</v>
      </c>
      <c r="C406" s="30" t="s">
        <v>32</v>
      </c>
      <c r="D406" s="30" t="s">
        <v>33</v>
      </c>
      <c r="E406" s="30" t="s">
        <v>34</v>
      </c>
      <c r="F406" s="21" t="s">
        <v>11</v>
      </c>
      <c r="G406" s="40" t="s">
        <v>12</v>
      </c>
      <c r="H406" s="40" t="s">
        <v>13</v>
      </c>
      <c r="I406" s="40" t="s">
        <v>14</v>
      </c>
      <c r="J406" s="40" t="s">
        <v>15</v>
      </c>
      <c r="K406" s="40" t="s">
        <v>16</v>
      </c>
      <c r="L406" s="40" t="s">
        <v>17</v>
      </c>
      <c r="M406" s="40" t="s">
        <v>18</v>
      </c>
      <c r="N406" s="40" t="s">
        <v>19</v>
      </c>
      <c r="O406" s="40" t="s">
        <v>20</v>
      </c>
      <c r="P406" s="40" t="s">
        <v>21</v>
      </c>
      <c r="Q406" s="40" t="s">
        <v>22</v>
      </c>
      <c r="R406" s="40" t="s">
        <v>23</v>
      </c>
      <c r="S406" s="23" t="s">
        <v>24</v>
      </c>
      <c r="T406" s="23" t="s">
        <v>25</v>
      </c>
    </row>
    <row r="407" spans="1:20" ht="65.099999999999994" customHeight="1" x14ac:dyDescent="0.25">
      <c r="A407" s="24" t="s">
        <v>126</v>
      </c>
      <c r="B407" s="17"/>
      <c r="C407" s="56" t="s">
        <v>127</v>
      </c>
      <c r="D407" s="19" t="str">
        <f ca="1">ojok20f1_name</f>
        <v>ADEBOWALE OLUSEGUN JOSHUA</v>
      </c>
      <c r="E407" s="26">
        <v>2025</v>
      </c>
      <c r="F407" s="27">
        <v>10000</v>
      </c>
      <c r="G407" s="22"/>
      <c r="H407" s="22"/>
      <c r="I407" s="22"/>
      <c r="J407" s="22"/>
      <c r="K407" s="22"/>
      <c r="L407" s="22"/>
      <c r="M407" s="22">
        <v>100000</v>
      </c>
      <c r="N407" s="22"/>
      <c r="O407" s="22"/>
      <c r="P407" s="22"/>
      <c r="Q407" s="22"/>
      <c r="R407" s="22"/>
      <c r="S407" s="64">
        <f t="shared" ref="S407:S417" si="29">SUM(G407:R407)</f>
        <v>100000</v>
      </c>
      <c r="T407" s="29">
        <f>SUM(F407*IF(E407=_current_year,_current_month,12)-(S407))</f>
        <v>20000</v>
      </c>
    </row>
    <row r="408" spans="1:20" ht="63.6" customHeight="1" x14ac:dyDescent="0.25">
      <c r="A408" s="24"/>
      <c r="B408" s="17"/>
      <c r="C408" s="56"/>
      <c r="D408" s="19"/>
      <c r="E408" s="30">
        <v>2024</v>
      </c>
      <c r="F408" s="27">
        <v>5000</v>
      </c>
      <c r="G408" s="22"/>
      <c r="H408" s="22"/>
      <c r="I408" s="22"/>
      <c r="J408" s="22">
        <v>180000</v>
      </c>
      <c r="K408" s="22"/>
      <c r="L408" s="22"/>
      <c r="M408" s="22"/>
      <c r="N408" s="22"/>
      <c r="O408" s="22"/>
      <c r="P408" s="22"/>
      <c r="Q408" s="22"/>
      <c r="R408" s="22"/>
      <c r="S408" s="37">
        <f t="shared" si="29"/>
        <v>180000</v>
      </c>
      <c r="T408" s="22">
        <f>SUM(F408*IF(E408=_current_year,_current_month,12)-(S408))</f>
        <v>-120000</v>
      </c>
    </row>
    <row r="409" spans="1:20" ht="51.75" customHeight="1" x14ac:dyDescent="0.25">
      <c r="A409" s="24"/>
      <c r="B409" s="17"/>
      <c r="C409" s="38" t="s">
        <v>52</v>
      </c>
      <c r="D409" s="38"/>
      <c r="E409" s="30">
        <v>2023</v>
      </c>
      <c r="F409" s="27">
        <v>5000</v>
      </c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37">
        <f t="shared" si="29"/>
        <v>0</v>
      </c>
      <c r="T409" s="22">
        <f>SUM(F409*12)-(S409)</f>
        <v>60000</v>
      </c>
    </row>
    <row r="410" spans="1:20" ht="59.25" customHeight="1" x14ac:dyDescent="0.4">
      <c r="A410" s="24"/>
      <c r="B410" s="33" t="s">
        <v>28</v>
      </c>
      <c r="C410" s="38"/>
      <c r="D410" s="38"/>
      <c r="E410" s="30">
        <v>2022</v>
      </c>
      <c r="F410" s="27">
        <v>5000</v>
      </c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7">
        <f t="shared" si="29"/>
        <v>0</v>
      </c>
      <c r="T410" s="37">
        <f t="shared" ref="T410:T417" si="30">SUM(60000-S410)</f>
        <v>60000</v>
      </c>
    </row>
    <row r="411" spans="1:20" ht="59.25" customHeight="1" x14ac:dyDescent="0.4">
      <c r="A411" s="24"/>
      <c r="B411" s="33" t="s">
        <v>28</v>
      </c>
      <c r="C411" s="38"/>
      <c r="D411" s="38"/>
      <c r="E411" s="30">
        <v>2021</v>
      </c>
      <c r="F411" s="27">
        <v>5000</v>
      </c>
      <c r="G411" s="36"/>
      <c r="H411" s="36"/>
      <c r="I411" s="36"/>
      <c r="J411" s="36"/>
      <c r="K411" s="36"/>
      <c r="L411" s="36"/>
      <c r="M411" s="36"/>
      <c r="N411" s="36"/>
      <c r="O411" s="36"/>
      <c r="P411" s="36">
        <v>18000</v>
      </c>
      <c r="Q411" s="36"/>
      <c r="R411" s="36"/>
      <c r="S411" s="37">
        <f t="shared" si="29"/>
        <v>18000</v>
      </c>
      <c r="T411" s="37">
        <f t="shared" si="30"/>
        <v>42000</v>
      </c>
    </row>
    <row r="412" spans="1:20" ht="36.75" customHeight="1" x14ac:dyDescent="0.4">
      <c r="A412" s="24"/>
      <c r="B412" s="14" t="s">
        <v>28</v>
      </c>
      <c r="C412" s="38"/>
      <c r="D412" s="38"/>
      <c r="E412" s="30">
        <v>2020</v>
      </c>
      <c r="F412" s="27">
        <v>5000</v>
      </c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7">
        <f t="shared" si="29"/>
        <v>0</v>
      </c>
      <c r="T412" s="37">
        <f t="shared" si="30"/>
        <v>60000</v>
      </c>
    </row>
    <row r="413" spans="1:20" ht="36.75" customHeight="1" x14ac:dyDescent="0.4">
      <c r="A413" s="24"/>
      <c r="B413" s="14"/>
      <c r="C413" s="38"/>
      <c r="D413" s="38"/>
      <c r="E413" s="30">
        <v>2019</v>
      </c>
      <c r="F413" s="27">
        <v>5000</v>
      </c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7">
        <f t="shared" si="29"/>
        <v>0</v>
      </c>
      <c r="T413" s="37">
        <f t="shared" si="30"/>
        <v>60000</v>
      </c>
    </row>
    <row r="414" spans="1:20" ht="36.75" customHeight="1" x14ac:dyDescent="0.4">
      <c r="A414" s="41" t="s">
        <v>30</v>
      </c>
      <c r="B414" s="14"/>
      <c r="C414" s="38"/>
      <c r="D414" s="38"/>
      <c r="E414" s="30">
        <v>2018</v>
      </c>
      <c r="F414" s="27">
        <v>5000</v>
      </c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7">
        <f t="shared" si="29"/>
        <v>0</v>
      </c>
      <c r="T414" s="37">
        <f t="shared" si="30"/>
        <v>60000</v>
      </c>
    </row>
    <row r="415" spans="1:20" ht="36.75" customHeight="1" x14ac:dyDescent="0.4">
      <c r="A415" s="41"/>
      <c r="B415" s="14"/>
      <c r="C415" s="38"/>
      <c r="D415" s="38"/>
      <c r="E415" s="30">
        <v>2017</v>
      </c>
      <c r="F415" s="27">
        <v>5000</v>
      </c>
      <c r="G415" s="44">
        <v>5000</v>
      </c>
      <c r="H415" s="44">
        <v>5000</v>
      </c>
      <c r="I415" s="44">
        <v>5000</v>
      </c>
      <c r="J415" s="44">
        <v>5000</v>
      </c>
      <c r="K415" s="44">
        <v>5000</v>
      </c>
      <c r="L415" s="44">
        <v>5000</v>
      </c>
      <c r="M415" s="44">
        <v>5000</v>
      </c>
      <c r="N415" s="40"/>
      <c r="O415" s="40"/>
      <c r="P415" s="40"/>
      <c r="Q415" s="40"/>
      <c r="R415" s="40"/>
      <c r="S415" s="37">
        <f t="shared" si="29"/>
        <v>35000</v>
      </c>
      <c r="T415" s="37">
        <f t="shared" si="30"/>
        <v>25000</v>
      </c>
    </row>
    <row r="416" spans="1:20" ht="36.75" x14ac:dyDescent="0.4">
      <c r="A416" s="127"/>
      <c r="B416" s="14"/>
      <c r="C416" s="38"/>
      <c r="D416" s="38"/>
      <c r="E416" s="30">
        <v>2016</v>
      </c>
      <c r="F416" s="27">
        <v>5000</v>
      </c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37">
        <f t="shared" si="29"/>
        <v>0</v>
      </c>
      <c r="T416" s="37">
        <f t="shared" si="30"/>
        <v>60000</v>
      </c>
    </row>
    <row r="417" spans="1:20" ht="36.75" x14ac:dyDescent="0.4">
      <c r="A417" s="128"/>
      <c r="B417" s="14"/>
      <c r="C417" s="38"/>
      <c r="D417" s="38"/>
      <c r="E417" s="30">
        <v>2015</v>
      </c>
      <c r="F417" s="27">
        <v>5000</v>
      </c>
      <c r="G417" s="44">
        <v>5000</v>
      </c>
      <c r="H417" s="44">
        <v>5000</v>
      </c>
      <c r="I417" s="44">
        <v>5000</v>
      </c>
      <c r="J417" s="44">
        <v>5000</v>
      </c>
      <c r="K417" s="44">
        <v>5000</v>
      </c>
      <c r="L417" s="44">
        <v>5000</v>
      </c>
      <c r="M417" s="44">
        <v>5000</v>
      </c>
      <c r="N417" s="44">
        <v>5000</v>
      </c>
      <c r="O417" s="44">
        <v>5000</v>
      </c>
      <c r="P417" s="44">
        <v>5000</v>
      </c>
      <c r="Q417" s="44">
        <v>5000</v>
      </c>
      <c r="R417" s="44">
        <v>5000</v>
      </c>
      <c r="S417" s="37">
        <f t="shared" si="29"/>
        <v>60000</v>
      </c>
      <c r="T417" s="37">
        <f t="shared" si="30"/>
        <v>0</v>
      </c>
    </row>
    <row r="418" spans="1:20" ht="37.5" thickBot="1" x14ac:dyDescent="0.45">
      <c r="A418" s="13"/>
      <c r="B418" s="14"/>
      <c r="C418" s="14"/>
      <c r="D418" s="15"/>
      <c r="E418" s="49"/>
      <c r="F418" s="50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183">
        <f>SUM(S407:S417)</f>
        <v>393000</v>
      </c>
      <c r="T418" s="87">
        <f>SUM(T407:T417)</f>
        <v>327000</v>
      </c>
    </row>
    <row r="419" spans="1:20" ht="36.75" x14ac:dyDescent="0.45">
      <c r="A419" s="13"/>
      <c r="B419" s="14"/>
      <c r="C419" s="14"/>
      <c r="D419" s="15"/>
      <c r="E419" s="14"/>
      <c r="F419" s="16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8"/>
      <c r="T419" s="8"/>
    </row>
    <row r="420" spans="1:20" ht="36.75" x14ac:dyDescent="0.45">
      <c r="A420" s="13"/>
      <c r="B420" s="14"/>
      <c r="C420" s="14"/>
      <c r="D420" s="15"/>
      <c r="E420" s="14"/>
      <c r="F420" s="16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8"/>
      <c r="T420" s="8"/>
    </row>
    <row r="421" spans="1:20" ht="60" customHeight="1" x14ac:dyDescent="0.25">
      <c r="A421" s="55" t="s">
        <v>31</v>
      </c>
      <c r="B421" s="55" t="s">
        <v>7</v>
      </c>
      <c r="C421" s="30" t="s">
        <v>32</v>
      </c>
      <c r="D421" s="30" t="s">
        <v>33</v>
      </c>
      <c r="E421" s="30" t="s">
        <v>34</v>
      </c>
      <c r="F421" s="21" t="s">
        <v>11</v>
      </c>
      <c r="G421" s="40" t="s">
        <v>12</v>
      </c>
      <c r="H421" s="40" t="s">
        <v>13</v>
      </c>
      <c r="I421" s="40" t="s">
        <v>14</v>
      </c>
      <c r="J421" s="40" t="s">
        <v>15</v>
      </c>
      <c r="K421" s="40" t="s">
        <v>16</v>
      </c>
      <c r="L421" s="40" t="s">
        <v>17</v>
      </c>
      <c r="M421" s="40" t="s">
        <v>18</v>
      </c>
      <c r="N421" s="40" t="s">
        <v>19</v>
      </c>
      <c r="O421" s="40" t="s">
        <v>20</v>
      </c>
      <c r="P421" s="40" t="s">
        <v>21</v>
      </c>
      <c r="Q421" s="40" t="s">
        <v>22</v>
      </c>
      <c r="R421" s="40" t="s">
        <v>23</v>
      </c>
      <c r="S421" s="23" t="s">
        <v>24</v>
      </c>
      <c r="T421" s="23" t="s">
        <v>25</v>
      </c>
    </row>
    <row r="422" spans="1:20" ht="51.75" customHeight="1" x14ac:dyDescent="0.6">
      <c r="A422" s="172" t="s">
        <v>128</v>
      </c>
      <c r="B422" s="17"/>
      <c r="C422" s="56" t="s">
        <v>129</v>
      </c>
      <c r="D422" s="19" t="str">
        <f ca="1">ojok20f2_name</f>
        <v>NJOKU VICTOR</v>
      </c>
      <c r="E422" s="26">
        <v>2025</v>
      </c>
      <c r="F422" s="27">
        <v>5000</v>
      </c>
      <c r="G422" s="22"/>
      <c r="H422" s="22"/>
      <c r="I422" s="22"/>
      <c r="J422" s="22"/>
      <c r="K422" s="22"/>
      <c r="L422" s="22"/>
      <c r="M422" s="189"/>
      <c r="N422" s="60">
        <v>60000</v>
      </c>
      <c r="O422" s="22"/>
      <c r="P422" s="22"/>
      <c r="Q422" s="22"/>
      <c r="R422" s="22"/>
      <c r="S422" s="64">
        <f t="shared" ref="S422" si="31">SUM(G422:R422)</f>
        <v>60000</v>
      </c>
      <c r="T422" s="29">
        <f>SUM(F422*3-(S422))</f>
        <v>-45000</v>
      </c>
    </row>
    <row r="423" spans="1:20" ht="51.75" customHeight="1" x14ac:dyDescent="0.6">
      <c r="A423" s="172"/>
      <c r="B423" s="17"/>
      <c r="C423" s="56"/>
      <c r="D423" s="19"/>
      <c r="E423" s="30"/>
      <c r="F423" s="27"/>
      <c r="G423" s="22"/>
      <c r="H423" s="22"/>
      <c r="I423" s="22"/>
      <c r="J423" s="22"/>
      <c r="K423" s="22"/>
      <c r="L423" s="22"/>
      <c r="M423" s="189"/>
      <c r="N423" s="22"/>
      <c r="O423" s="22"/>
      <c r="P423" s="22"/>
      <c r="Q423" s="22"/>
      <c r="R423" s="22"/>
      <c r="S423" s="37"/>
      <c r="T423" s="22"/>
    </row>
    <row r="424" spans="1:20" ht="51.75" customHeight="1" x14ac:dyDescent="0.6">
      <c r="A424" s="172"/>
      <c r="B424" s="17"/>
      <c r="C424" s="56"/>
      <c r="D424" s="19"/>
      <c r="E424" s="30"/>
      <c r="F424" s="27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S424" s="37"/>
      <c r="T424" s="37"/>
    </row>
    <row r="425" spans="1:20" ht="36.75" customHeight="1" x14ac:dyDescent="0.4">
      <c r="A425" s="172"/>
      <c r="B425" s="33" t="s">
        <v>28</v>
      </c>
      <c r="C425" s="56"/>
      <c r="D425" s="35"/>
      <c r="E425" s="30"/>
      <c r="F425" s="27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7"/>
      <c r="T425" s="37"/>
    </row>
    <row r="426" spans="1:20" ht="36.75" customHeight="1" x14ac:dyDescent="0.4">
      <c r="A426" s="172"/>
      <c r="B426" s="33" t="s">
        <v>28</v>
      </c>
      <c r="C426" s="38" t="s">
        <v>52</v>
      </c>
      <c r="D426" s="38"/>
      <c r="E426" s="30"/>
      <c r="F426" s="27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7"/>
      <c r="T426" s="37"/>
    </row>
    <row r="427" spans="1:20" ht="36.75" customHeight="1" x14ac:dyDescent="0.4">
      <c r="A427" s="41" t="s">
        <v>30</v>
      </c>
      <c r="B427" s="14" t="s">
        <v>28</v>
      </c>
      <c r="C427" s="38"/>
      <c r="D427" s="38"/>
      <c r="E427" s="30"/>
      <c r="F427" s="27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7"/>
      <c r="T427" s="37"/>
    </row>
    <row r="428" spans="1:20" ht="36.75" customHeight="1" x14ac:dyDescent="0.4">
      <c r="A428" s="41"/>
      <c r="B428" s="14"/>
      <c r="C428" s="38"/>
      <c r="D428" s="38"/>
      <c r="E428" s="30"/>
      <c r="F428" s="27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7"/>
      <c r="T428" s="37"/>
    </row>
    <row r="429" spans="1:20" ht="37.5" thickBot="1" x14ac:dyDescent="0.45">
      <c r="A429" s="13"/>
      <c r="B429" s="14"/>
      <c r="C429" s="14"/>
      <c r="D429" s="15"/>
      <c r="E429" s="49"/>
      <c r="F429" s="50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2">
        <f>SUM(S422:S428)</f>
        <v>60000</v>
      </c>
      <c r="T429" s="87">
        <f>SUM(T422:T428)</f>
        <v>-45000</v>
      </c>
    </row>
    <row r="430" spans="1:20" ht="36.75" x14ac:dyDescent="0.45">
      <c r="A430" s="13"/>
      <c r="B430" s="14"/>
      <c r="C430" s="14"/>
      <c r="D430" s="15"/>
      <c r="E430" s="14"/>
      <c r="F430" s="16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8"/>
      <c r="T430" s="8"/>
    </row>
    <row r="431" spans="1:20" ht="60" customHeight="1" x14ac:dyDescent="0.25">
      <c r="A431" s="55" t="s">
        <v>31</v>
      </c>
      <c r="B431" s="55" t="s">
        <v>7</v>
      </c>
      <c r="C431" s="30" t="s">
        <v>32</v>
      </c>
      <c r="D431" s="30" t="s">
        <v>33</v>
      </c>
      <c r="E431" s="30" t="s">
        <v>34</v>
      </c>
      <c r="F431" s="21" t="s">
        <v>11</v>
      </c>
      <c r="G431" s="40" t="s">
        <v>12</v>
      </c>
      <c r="H431" s="40" t="s">
        <v>13</v>
      </c>
      <c r="I431" s="40" t="s">
        <v>14</v>
      </c>
      <c r="J431" s="40" t="s">
        <v>15</v>
      </c>
      <c r="K431" s="40" t="s">
        <v>16</v>
      </c>
      <c r="L431" s="40" t="s">
        <v>17</v>
      </c>
      <c r="M431" s="40" t="s">
        <v>18</v>
      </c>
      <c r="N431" s="40" t="s">
        <v>19</v>
      </c>
      <c r="O431" s="40" t="s">
        <v>20</v>
      </c>
      <c r="P431" s="40" t="s">
        <v>21</v>
      </c>
      <c r="Q431" s="40" t="s">
        <v>22</v>
      </c>
      <c r="R431" s="40" t="s">
        <v>23</v>
      </c>
      <c r="S431" s="23" t="s">
        <v>24</v>
      </c>
      <c r="T431" s="23" t="s">
        <v>25</v>
      </c>
    </row>
    <row r="432" spans="1:20" ht="51.75" customHeight="1" x14ac:dyDescent="0.25">
      <c r="A432" s="172">
        <v>21</v>
      </c>
      <c r="B432" s="17"/>
      <c r="C432" s="25" t="s">
        <v>130</v>
      </c>
      <c r="D432" s="19" t="str">
        <f>C432</f>
        <v>GBENGA RAHEEM</v>
      </c>
      <c r="E432" s="26">
        <v>2025</v>
      </c>
      <c r="F432" s="27">
        <v>10000</v>
      </c>
      <c r="G432" s="22"/>
      <c r="H432" s="22"/>
      <c r="I432" s="22"/>
      <c r="J432" s="22"/>
      <c r="K432" s="22"/>
      <c r="L432" s="22"/>
      <c r="M432" s="22"/>
      <c r="N432" s="22"/>
      <c r="O432" s="22">
        <v>130000</v>
      </c>
      <c r="P432" s="22"/>
      <c r="Q432" s="22"/>
      <c r="R432" s="22"/>
      <c r="S432" s="64">
        <f>SUM(G432:R432)</f>
        <v>130000</v>
      </c>
      <c r="T432" s="29">
        <f>SUM(F432*IF(E432=_current_year,_current_month,12)-(S432))</f>
        <v>-10000</v>
      </c>
    </row>
    <row r="433" spans="1:20" ht="51.75" customHeight="1" x14ac:dyDescent="0.25">
      <c r="A433" s="172"/>
      <c r="B433" s="17"/>
      <c r="C433" s="25"/>
      <c r="D433" s="19"/>
      <c r="E433" s="30">
        <v>2024</v>
      </c>
      <c r="F433" s="27">
        <v>5000</v>
      </c>
      <c r="G433" s="22"/>
      <c r="H433" s="22"/>
      <c r="I433" s="22"/>
      <c r="J433" s="22">
        <v>60000</v>
      </c>
      <c r="K433" s="22"/>
      <c r="L433" s="22"/>
      <c r="M433" s="22"/>
      <c r="N433" s="22"/>
      <c r="O433" s="22"/>
      <c r="P433" s="22"/>
      <c r="Q433" s="22"/>
      <c r="R433" s="22"/>
      <c r="S433" s="37">
        <f>SUM(G433:R433)</f>
        <v>60000</v>
      </c>
      <c r="T433" s="22">
        <f>SUM(F433*IF(E433=_current_year,_current_month,12)-(S433))</f>
        <v>0</v>
      </c>
    </row>
    <row r="434" spans="1:20" ht="51.75" customHeight="1" x14ac:dyDescent="0.25">
      <c r="A434" s="172"/>
      <c r="B434" s="17"/>
      <c r="C434" s="194" t="s">
        <v>131</v>
      </c>
      <c r="D434" s="19"/>
      <c r="E434" s="30">
        <v>2023</v>
      </c>
      <c r="F434" s="27">
        <v>5000</v>
      </c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37">
        <f>SUM(G434:R434)</f>
        <v>0</v>
      </c>
      <c r="T434" s="22">
        <f>SUM(F434*IF(E434=_current_year,_current_month,12)-(S434))</f>
        <v>60000</v>
      </c>
    </row>
    <row r="435" spans="1:20" ht="36.75" customHeight="1" x14ac:dyDescent="0.6">
      <c r="A435" s="172"/>
      <c r="B435" s="33" t="s">
        <v>28</v>
      </c>
      <c r="C435" s="85" t="s">
        <v>132</v>
      </c>
      <c r="D435" s="35"/>
      <c r="E435" s="30">
        <v>2022</v>
      </c>
      <c r="F435" s="27">
        <v>5000</v>
      </c>
      <c r="G435" s="36"/>
      <c r="H435" s="36"/>
      <c r="I435" s="36"/>
      <c r="J435" s="36"/>
      <c r="K435" s="60"/>
      <c r="M435" s="36"/>
      <c r="N435" s="36"/>
      <c r="O435" s="36">
        <v>60000</v>
      </c>
      <c r="P435" s="36"/>
      <c r="Q435" s="36"/>
      <c r="R435" s="36"/>
      <c r="S435" s="37">
        <f>SUM(M435:R435)</f>
        <v>60000</v>
      </c>
      <c r="T435" s="195">
        <f>SUM(30000-S435)</f>
        <v>-30000</v>
      </c>
    </row>
    <row r="436" spans="1:20" ht="59.25" customHeight="1" x14ac:dyDescent="0.4">
      <c r="A436" s="172"/>
      <c r="B436" s="33" t="s">
        <v>28</v>
      </c>
      <c r="C436" s="80" t="s">
        <v>52</v>
      </c>
      <c r="D436" s="80"/>
      <c r="E436" s="30"/>
      <c r="F436" s="104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7"/>
      <c r="T436" s="37"/>
    </row>
    <row r="437" spans="1:20" ht="36.75" customHeight="1" x14ac:dyDescent="0.4">
      <c r="A437" s="41" t="s">
        <v>30</v>
      </c>
      <c r="B437" s="14" t="s">
        <v>133</v>
      </c>
      <c r="C437" s="80"/>
      <c r="D437" s="80"/>
      <c r="E437" s="49"/>
      <c r="F437" s="104"/>
      <c r="G437" s="196" t="s">
        <v>134</v>
      </c>
      <c r="H437" s="196"/>
      <c r="I437" s="196"/>
      <c r="J437" s="196"/>
      <c r="K437" s="196"/>
      <c r="L437" s="196"/>
      <c r="M437" s="197"/>
      <c r="N437" s="104"/>
      <c r="O437" s="104"/>
      <c r="P437" s="104"/>
      <c r="Q437" s="104"/>
      <c r="R437" s="198"/>
      <c r="S437" s="198"/>
      <c r="T437" s="198"/>
    </row>
    <row r="438" spans="1:20" ht="36.75" customHeight="1" x14ac:dyDescent="0.4">
      <c r="A438" s="41"/>
      <c r="B438" s="14"/>
      <c r="C438" s="80"/>
      <c r="D438" s="80"/>
      <c r="E438" s="49"/>
      <c r="F438" s="104"/>
      <c r="G438" s="104"/>
      <c r="H438" s="104"/>
      <c r="I438" s="104"/>
      <c r="J438" s="104"/>
      <c r="K438" s="104"/>
      <c r="L438" s="104"/>
      <c r="M438" s="104"/>
      <c r="N438" s="104"/>
      <c r="O438" s="104"/>
      <c r="P438" s="104"/>
      <c r="Q438" s="104"/>
      <c r="R438" s="104"/>
      <c r="S438" s="104"/>
      <c r="T438" s="104"/>
    </row>
    <row r="439" spans="1:20" ht="37.5" thickBot="1" x14ac:dyDescent="0.45">
      <c r="A439" s="13"/>
      <c r="B439" s="14"/>
      <c r="C439" s="80"/>
      <c r="D439" s="80"/>
      <c r="E439" s="49"/>
      <c r="F439" s="50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183">
        <f>SUM(S432:S438)</f>
        <v>250000</v>
      </c>
      <c r="T439" s="87">
        <f>SUM(T432:T438)</f>
        <v>20000</v>
      </c>
    </row>
    <row r="440" spans="1:20" ht="36.75" x14ac:dyDescent="0.45">
      <c r="A440" s="13"/>
      <c r="B440" s="14"/>
      <c r="C440" s="14"/>
      <c r="D440" s="15"/>
      <c r="E440" s="14"/>
      <c r="F440" s="16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8"/>
      <c r="T440" s="8"/>
    </row>
    <row r="441" spans="1:20" ht="60" customHeight="1" x14ac:dyDescent="0.25">
      <c r="A441" s="55" t="s">
        <v>31</v>
      </c>
      <c r="B441" s="55" t="s">
        <v>7</v>
      </c>
      <c r="C441" s="30" t="s">
        <v>32</v>
      </c>
      <c r="D441" s="30" t="s">
        <v>33</v>
      </c>
      <c r="E441" s="30" t="s">
        <v>34</v>
      </c>
      <c r="F441" s="21" t="s">
        <v>11</v>
      </c>
      <c r="G441" s="40" t="s">
        <v>12</v>
      </c>
      <c r="H441" s="40" t="s">
        <v>13</v>
      </c>
      <c r="I441" s="40" t="s">
        <v>14</v>
      </c>
      <c r="J441" s="40" t="s">
        <v>15</v>
      </c>
      <c r="K441" s="40" t="s">
        <v>16</v>
      </c>
      <c r="L441" s="40" t="s">
        <v>17</v>
      </c>
      <c r="M441" s="40" t="s">
        <v>18</v>
      </c>
      <c r="N441" s="40" t="s">
        <v>19</v>
      </c>
      <c r="O441" s="40" t="s">
        <v>20</v>
      </c>
      <c r="P441" s="40" t="s">
        <v>21</v>
      </c>
      <c r="Q441" s="40" t="s">
        <v>22</v>
      </c>
      <c r="R441" s="40" t="s">
        <v>23</v>
      </c>
      <c r="S441" s="23" t="s">
        <v>24</v>
      </c>
      <c r="T441" s="23" t="s">
        <v>25</v>
      </c>
    </row>
    <row r="442" spans="1:20" ht="51.75" customHeight="1" x14ac:dyDescent="0.25">
      <c r="A442" s="172">
        <v>22</v>
      </c>
      <c r="B442" s="17"/>
      <c r="C442" s="185" t="s">
        <v>135</v>
      </c>
      <c r="D442" s="19"/>
      <c r="E442" s="26">
        <v>2025</v>
      </c>
      <c r="F442" s="27">
        <v>10000</v>
      </c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64">
        <f t="shared" ref="S442:S452" si="32">SUM(G442:R442)</f>
        <v>0</v>
      </c>
      <c r="T442" s="29">
        <f>SUM(F442*IF(E442=_current_year,_current_month,12)-(S442))</f>
        <v>120000</v>
      </c>
    </row>
    <row r="443" spans="1:20" ht="51.75" customHeight="1" x14ac:dyDescent="0.25">
      <c r="A443" s="172"/>
      <c r="B443" s="17"/>
      <c r="C443" s="185"/>
      <c r="D443" s="19"/>
      <c r="E443" s="30">
        <v>2024</v>
      </c>
      <c r="F443" s="27">
        <v>5000</v>
      </c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37">
        <f t="shared" si="32"/>
        <v>0</v>
      </c>
      <c r="T443" s="22">
        <f>SUM(F443*IF(E443=_current_year,_current_month,12)-(S443))</f>
        <v>60000</v>
      </c>
    </row>
    <row r="444" spans="1:20" ht="51.75" customHeight="1" x14ac:dyDescent="0.25">
      <c r="A444" s="172"/>
      <c r="B444" s="17"/>
      <c r="C444" s="185"/>
      <c r="D444" s="19"/>
      <c r="E444" s="30">
        <v>2023</v>
      </c>
      <c r="F444" s="27">
        <v>5000</v>
      </c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37">
        <f t="shared" si="32"/>
        <v>0</v>
      </c>
      <c r="T444" s="22">
        <f>SUM(F444*IF(E444=_current_year,_current_month,12)-(S444))</f>
        <v>60000</v>
      </c>
    </row>
    <row r="445" spans="1:20" ht="36.75" customHeight="1" x14ac:dyDescent="0.4">
      <c r="A445" s="172"/>
      <c r="B445" s="33" t="s">
        <v>28</v>
      </c>
      <c r="C445" s="185"/>
      <c r="D445" s="35"/>
      <c r="E445" s="30">
        <v>2022</v>
      </c>
      <c r="F445" s="27">
        <v>5000</v>
      </c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7">
        <f t="shared" si="32"/>
        <v>0</v>
      </c>
      <c r="T445" s="37">
        <f t="shared" ref="T445:T452" si="33">SUM(60000-S445)</f>
        <v>60000</v>
      </c>
    </row>
    <row r="446" spans="1:20" ht="36.75" customHeight="1" x14ac:dyDescent="0.4">
      <c r="A446" s="41" t="s">
        <v>30</v>
      </c>
      <c r="B446" s="33" t="s">
        <v>28</v>
      </c>
      <c r="C446" s="38" t="s">
        <v>52</v>
      </c>
      <c r="D446" s="38"/>
      <c r="E446" s="30">
        <v>2021</v>
      </c>
      <c r="F446" s="27">
        <v>5000</v>
      </c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7">
        <f t="shared" si="32"/>
        <v>0</v>
      </c>
      <c r="T446" s="37">
        <f t="shared" si="33"/>
        <v>60000</v>
      </c>
    </row>
    <row r="447" spans="1:20" ht="36.75" customHeight="1" x14ac:dyDescent="0.4">
      <c r="A447" s="41"/>
      <c r="B447" s="14" t="s">
        <v>28</v>
      </c>
      <c r="C447" s="38"/>
      <c r="D447" s="38"/>
      <c r="E447" s="30">
        <v>2020</v>
      </c>
      <c r="F447" s="27">
        <v>5000</v>
      </c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7">
        <f t="shared" si="32"/>
        <v>0</v>
      </c>
      <c r="T447" s="37">
        <f t="shared" si="33"/>
        <v>60000</v>
      </c>
    </row>
    <row r="448" spans="1:20" ht="36.75" customHeight="1" x14ac:dyDescent="0.4">
      <c r="A448" s="180"/>
      <c r="B448" s="14"/>
      <c r="C448" s="38"/>
      <c r="D448" s="38"/>
      <c r="E448" s="30">
        <v>2019</v>
      </c>
      <c r="F448" s="27">
        <v>5000</v>
      </c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7">
        <f t="shared" si="32"/>
        <v>0</v>
      </c>
      <c r="T448" s="37">
        <f t="shared" si="33"/>
        <v>60000</v>
      </c>
    </row>
    <row r="449" spans="1:20" ht="36.75" customHeight="1" x14ac:dyDescent="0.4">
      <c r="A449" s="180"/>
      <c r="B449" s="14"/>
      <c r="C449" s="38"/>
      <c r="D449" s="38"/>
      <c r="E449" s="30">
        <v>2018</v>
      </c>
      <c r="F449" s="27">
        <v>5000</v>
      </c>
      <c r="G449" s="36"/>
      <c r="H449" s="36"/>
      <c r="I449" s="36"/>
      <c r="J449" s="94"/>
      <c r="K449" s="36"/>
      <c r="L449" s="36"/>
      <c r="M449" s="36"/>
      <c r="N449" s="36"/>
      <c r="O449" s="36"/>
      <c r="P449" s="36"/>
      <c r="Q449" s="36"/>
      <c r="R449" s="36"/>
      <c r="S449" s="37">
        <f t="shared" si="32"/>
        <v>0</v>
      </c>
      <c r="T449" s="37">
        <f t="shared" si="33"/>
        <v>60000</v>
      </c>
    </row>
    <row r="450" spans="1:20" ht="36.75" customHeight="1" x14ac:dyDescent="0.4">
      <c r="A450" s="180"/>
      <c r="B450" s="14"/>
      <c r="C450" s="38"/>
      <c r="D450" s="38"/>
      <c r="E450" s="30">
        <v>2017</v>
      </c>
      <c r="F450" s="27">
        <v>5000</v>
      </c>
      <c r="G450" s="36"/>
      <c r="H450" s="36"/>
      <c r="I450" s="36"/>
      <c r="J450" s="36"/>
      <c r="K450" s="36"/>
      <c r="L450" s="36"/>
      <c r="M450" s="40"/>
      <c r="N450" s="40"/>
      <c r="O450" s="40"/>
      <c r="P450" s="40"/>
      <c r="Q450" s="40"/>
      <c r="R450" s="40"/>
      <c r="S450" s="37">
        <f t="shared" si="32"/>
        <v>0</v>
      </c>
      <c r="T450" s="37">
        <f t="shared" si="33"/>
        <v>60000</v>
      </c>
    </row>
    <row r="451" spans="1:20" ht="36.75" x14ac:dyDescent="0.4">
      <c r="A451" s="199"/>
      <c r="B451" s="14"/>
      <c r="C451" s="38"/>
      <c r="D451" s="38"/>
      <c r="E451" s="30">
        <v>2016</v>
      </c>
      <c r="F451" s="27">
        <v>5000</v>
      </c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37">
        <f t="shared" si="32"/>
        <v>0</v>
      </c>
      <c r="T451" s="37">
        <f t="shared" si="33"/>
        <v>60000</v>
      </c>
    </row>
    <row r="452" spans="1:20" ht="36.75" x14ac:dyDescent="0.4">
      <c r="A452" s="128"/>
      <c r="B452" s="14"/>
      <c r="C452" s="38"/>
      <c r="D452" s="38"/>
      <c r="E452" s="30">
        <v>2015</v>
      </c>
      <c r="F452" s="27">
        <v>5000</v>
      </c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37">
        <f t="shared" si="32"/>
        <v>0</v>
      </c>
      <c r="T452" s="37">
        <f t="shared" si="33"/>
        <v>60000</v>
      </c>
    </row>
    <row r="453" spans="1:20" ht="37.5" thickBot="1" x14ac:dyDescent="0.45">
      <c r="A453" s="13"/>
      <c r="B453" s="14"/>
      <c r="C453" s="14"/>
      <c r="D453" s="15"/>
      <c r="E453" s="49"/>
      <c r="F453" s="50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2">
        <f>SUM(S442:S452)</f>
        <v>0</v>
      </c>
      <c r="T453" s="87">
        <f>SUM(T442:T452)</f>
        <v>720000</v>
      </c>
    </row>
    <row r="454" spans="1:20" ht="36.75" x14ac:dyDescent="0.45">
      <c r="A454" s="13"/>
      <c r="B454" s="14"/>
      <c r="C454" s="14"/>
      <c r="D454" s="15"/>
      <c r="E454" s="14"/>
      <c r="F454" s="16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8"/>
      <c r="T454" s="8"/>
    </row>
    <row r="455" spans="1:20" ht="60" customHeight="1" x14ac:dyDescent="0.25">
      <c r="A455" s="55" t="s">
        <v>31</v>
      </c>
      <c r="B455" s="55" t="s">
        <v>7</v>
      </c>
      <c r="C455" s="30" t="s">
        <v>32</v>
      </c>
      <c r="D455" s="30" t="s">
        <v>33</v>
      </c>
      <c r="E455" s="30" t="s">
        <v>34</v>
      </c>
      <c r="F455" s="21" t="s">
        <v>11</v>
      </c>
      <c r="G455" s="40" t="s">
        <v>12</v>
      </c>
      <c r="H455" s="40" t="s">
        <v>13</v>
      </c>
      <c r="I455" s="40" t="s">
        <v>14</v>
      </c>
      <c r="J455" s="40" t="s">
        <v>15</v>
      </c>
      <c r="K455" s="40" t="s">
        <v>16</v>
      </c>
      <c r="L455" s="40" t="s">
        <v>17</v>
      </c>
      <c r="M455" s="40" t="s">
        <v>18</v>
      </c>
      <c r="N455" s="40" t="s">
        <v>19</v>
      </c>
      <c r="O455" s="40" t="s">
        <v>20</v>
      </c>
      <c r="P455" s="40" t="s">
        <v>21</v>
      </c>
      <c r="Q455" s="40" t="s">
        <v>22</v>
      </c>
      <c r="R455" s="40" t="s">
        <v>23</v>
      </c>
      <c r="S455" s="23" t="s">
        <v>24</v>
      </c>
      <c r="T455" s="23" t="s">
        <v>25</v>
      </c>
    </row>
    <row r="456" spans="1:20" ht="51.75" customHeight="1" x14ac:dyDescent="0.25">
      <c r="A456" s="172" t="s">
        <v>136</v>
      </c>
      <c r="B456" s="17"/>
      <c r="C456" s="185" t="s">
        <v>137</v>
      </c>
      <c r="D456" s="84" t="s">
        <v>138</v>
      </c>
      <c r="E456" s="200">
        <v>2025</v>
      </c>
      <c r="F456" s="27">
        <v>5000</v>
      </c>
      <c r="G456" s="22"/>
      <c r="H456" s="22"/>
      <c r="I456" s="22"/>
      <c r="J456" s="22"/>
      <c r="K456" s="22"/>
      <c r="L456" s="22"/>
      <c r="M456" s="22"/>
      <c r="N456" s="22">
        <v>35000</v>
      </c>
      <c r="O456" s="22">
        <v>19000</v>
      </c>
      <c r="P456" s="22"/>
      <c r="Q456" s="22"/>
      <c r="R456" s="22"/>
      <c r="S456" s="64">
        <f>SUM(G456:R456)</f>
        <v>54000</v>
      </c>
      <c r="T456" s="29">
        <f>SUM(F456*IF(E456=_current_year,_current_month,12)-(S456))</f>
        <v>6000</v>
      </c>
    </row>
    <row r="457" spans="1:20" ht="51.75" customHeight="1" x14ac:dyDescent="0.25">
      <c r="A457" s="172"/>
      <c r="B457" s="17"/>
      <c r="C457" s="185"/>
      <c r="D457" s="84" t="s">
        <v>138</v>
      </c>
      <c r="E457" s="143">
        <v>2024</v>
      </c>
      <c r="F457" s="27">
        <v>3000</v>
      </c>
      <c r="G457" s="22"/>
      <c r="H457" s="22"/>
      <c r="I457" s="22"/>
      <c r="J457" s="22">
        <v>36000</v>
      </c>
      <c r="K457" s="22"/>
      <c r="L457" s="22"/>
      <c r="M457" s="22"/>
      <c r="N457" s="22"/>
      <c r="O457" s="22"/>
      <c r="P457" s="22"/>
      <c r="Q457" s="22"/>
      <c r="R457" s="22"/>
      <c r="S457" s="37">
        <f>SUM(G457:R457)</f>
        <v>36000</v>
      </c>
      <c r="T457" s="22">
        <f>SUM(F457*IF(E457=_current_year,_current_month,12)-(S457))</f>
        <v>0</v>
      </c>
    </row>
    <row r="458" spans="1:20" ht="51.75" customHeight="1" x14ac:dyDescent="0.25">
      <c r="A458" s="172"/>
      <c r="B458" s="17"/>
      <c r="C458" s="185"/>
      <c r="D458" s="201"/>
      <c r="E458" s="143">
        <v>2023</v>
      </c>
      <c r="F458" s="27">
        <v>3000</v>
      </c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37">
        <f>SUM(G458:R458)</f>
        <v>0</v>
      </c>
      <c r="T458" s="22">
        <f>SUM(F458*IF(E458=_current_year,_current_month,12)-(S458))</f>
        <v>36000</v>
      </c>
    </row>
    <row r="459" spans="1:20" ht="36.75" customHeight="1" x14ac:dyDescent="0.4">
      <c r="A459" s="172"/>
      <c r="B459" s="33" t="s">
        <v>28</v>
      </c>
      <c r="C459" s="185"/>
      <c r="D459" s="202"/>
      <c r="E459" s="30">
        <v>2022</v>
      </c>
      <c r="F459" s="27">
        <v>3000</v>
      </c>
      <c r="G459" s="104"/>
      <c r="H459" s="104"/>
      <c r="I459" s="104"/>
      <c r="J459" s="104"/>
      <c r="K459" s="104"/>
      <c r="L459" s="104"/>
      <c r="M459" s="104"/>
      <c r="N459" s="104"/>
      <c r="O459" s="104">
        <v>36000</v>
      </c>
      <c r="P459" s="60"/>
      <c r="Q459" s="36"/>
      <c r="R459" s="36"/>
      <c r="S459" s="37">
        <f>SUM(G459:R459)</f>
        <v>36000</v>
      </c>
      <c r="T459" s="195">
        <f>SUM(9000-S459)</f>
        <v>-27000</v>
      </c>
    </row>
    <row r="460" spans="1:20" ht="36.75" customHeight="1" x14ac:dyDescent="0.4">
      <c r="A460" s="172"/>
      <c r="B460" s="33" t="s">
        <v>28</v>
      </c>
      <c r="C460" s="38" t="s">
        <v>52</v>
      </c>
      <c r="D460" s="38"/>
      <c r="E460" s="49"/>
      <c r="F460" s="104"/>
      <c r="G460" s="104"/>
      <c r="H460" s="104"/>
      <c r="I460" s="104"/>
      <c r="J460" s="104"/>
      <c r="K460" s="104"/>
      <c r="L460" s="104"/>
      <c r="M460" s="104"/>
      <c r="N460" s="104"/>
      <c r="O460" s="104"/>
      <c r="P460" s="104"/>
      <c r="Q460" s="104"/>
      <c r="R460" s="104"/>
      <c r="S460" s="105"/>
      <c r="T460" s="105"/>
    </row>
    <row r="461" spans="1:20" ht="36.75" customHeight="1" x14ac:dyDescent="0.4">
      <c r="A461" s="41" t="s">
        <v>30</v>
      </c>
      <c r="B461" s="14"/>
      <c r="C461" s="38"/>
      <c r="D461" s="38"/>
      <c r="E461" s="49"/>
      <c r="F461" s="104"/>
      <c r="G461" s="203"/>
      <c r="H461" s="203"/>
      <c r="I461" s="203"/>
      <c r="J461" s="203"/>
      <c r="K461" s="203"/>
      <c r="L461" s="203"/>
      <c r="M461" s="203"/>
      <c r="N461" s="132"/>
      <c r="O461" s="132"/>
      <c r="P461" s="132"/>
      <c r="Q461" s="132"/>
      <c r="R461" s="132"/>
      <c r="S461" s="105"/>
      <c r="T461" s="105"/>
    </row>
    <row r="462" spans="1:20" ht="36.75" customHeight="1" x14ac:dyDescent="0.4">
      <c r="A462" s="41"/>
      <c r="B462" s="14"/>
      <c r="C462" s="38"/>
      <c r="D462" s="38"/>
      <c r="E462" s="49"/>
      <c r="F462" s="104"/>
      <c r="G462" s="132"/>
      <c r="H462" s="132"/>
      <c r="I462" s="132"/>
      <c r="J462" s="203"/>
      <c r="K462" s="203"/>
      <c r="L462" s="203"/>
      <c r="M462" s="203"/>
      <c r="N462" s="203"/>
      <c r="O462" s="203"/>
      <c r="P462" s="203"/>
      <c r="Q462" s="203"/>
      <c r="R462" s="203"/>
      <c r="S462" s="105"/>
      <c r="T462" s="105"/>
    </row>
    <row r="463" spans="1:20" ht="32.25" customHeight="1" x14ac:dyDescent="0.4">
      <c r="A463" s="128"/>
      <c r="B463" s="14"/>
      <c r="C463" s="38"/>
      <c r="D463" s="38"/>
      <c r="E463" s="113"/>
      <c r="F463" s="114"/>
      <c r="G463" s="114"/>
      <c r="H463" s="114"/>
      <c r="I463" s="114"/>
      <c r="J463" s="114"/>
      <c r="K463" s="114"/>
      <c r="L463" s="114"/>
      <c r="M463" s="114"/>
      <c r="N463" s="114"/>
      <c r="O463" s="114"/>
      <c r="P463" s="114"/>
      <c r="Q463" s="114"/>
      <c r="R463" s="114"/>
      <c r="S463" s="114"/>
      <c r="T463" s="115"/>
    </row>
    <row r="464" spans="1:20" ht="37.5" thickBot="1" x14ac:dyDescent="0.45">
      <c r="A464" s="13"/>
      <c r="B464" s="14"/>
      <c r="C464" s="14"/>
      <c r="D464" s="15"/>
      <c r="E464" s="49"/>
      <c r="F464" s="50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2">
        <f>SUM(S456:S463)</f>
        <v>126000</v>
      </c>
      <c r="T464" s="87">
        <f>SUM(T456:T463)</f>
        <v>15000</v>
      </c>
    </row>
    <row r="465" spans="1:20" ht="36.75" x14ac:dyDescent="0.45">
      <c r="A465" s="13"/>
      <c r="B465" s="14"/>
      <c r="C465" s="14"/>
      <c r="D465" s="15"/>
      <c r="E465" s="14"/>
      <c r="F465" s="16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8"/>
      <c r="T465" s="8"/>
    </row>
    <row r="466" spans="1:20" ht="60" customHeight="1" x14ac:dyDescent="0.25">
      <c r="A466" s="55" t="s">
        <v>31</v>
      </c>
      <c r="B466" s="55" t="s">
        <v>7</v>
      </c>
      <c r="C466" s="30" t="s">
        <v>32</v>
      </c>
      <c r="D466" s="30" t="s">
        <v>33</v>
      </c>
      <c r="E466" s="30" t="s">
        <v>34</v>
      </c>
      <c r="F466" s="21" t="s">
        <v>11</v>
      </c>
      <c r="G466" s="40" t="s">
        <v>12</v>
      </c>
      <c r="H466" s="40" t="s">
        <v>13</v>
      </c>
      <c r="I466" s="40" t="s">
        <v>14</v>
      </c>
      <c r="J466" s="40" t="s">
        <v>15</v>
      </c>
      <c r="K466" s="40" t="s">
        <v>16</v>
      </c>
      <c r="L466" s="40" t="s">
        <v>17</v>
      </c>
      <c r="M466" s="40" t="s">
        <v>18</v>
      </c>
      <c r="N466" s="40" t="s">
        <v>19</v>
      </c>
      <c r="O466" s="40" t="s">
        <v>20</v>
      </c>
      <c r="P466" s="40" t="s">
        <v>21</v>
      </c>
      <c r="Q466" s="40" t="s">
        <v>22</v>
      </c>
      <c r="R466" s="40" t="s">
        <v>23</v>
      </c>
      <c r="S466" s="23" t="s">
        <v>24</v>
      </c>
      <c r="T466" s="23" t="s">
        <v>25</v>
      </c>
    </row>
    <row r="467" spans="1:20" ht="51.75" customHeight="1" x14ac:dyDescent="0.25">
      <c r="A467" s="172" t="s">
        <v>139</v>
      </c>
      <c r="B467" s="17"/>
      <c r="C467" s="56"/>
      <c r="D467" s="19">
        <f>C467</f>
        <v>0</v>
      </c>
      <c r="E467" s="26">
        <v>2025</v>
      </c>
      <c r="F467" s="27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64"/>
      <c r="T467" s="29"/>
    </row>
    <row r="468" spans="1:20" ht="51.75" customHeight="1" x14ac:dyDescent="0.25">
      <c r="A468" s="172"/>
      <c r="B468" s="17"/>
      <c r="C468" s="56"/>
      <c r="D468" s="19"/>
      <c r="E468" s="30">
        <v>2024</v>
      </c>
      <c r="F468" s="27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37"/>
      <c r="T468" s="22"/>
    </row>
    <row r="469" spans="1:20" ht="51.75" customHeight="1" x14ac:dyDescent="0.25">
      <c r="A469" s="172"/>
      <c r="B469" s="17"/>
      <c r="C469" s="56"/>
      <c r="D469" s="19"/>
      <c r="E469" s="30">
        <v>2023</v>
      </c>
      <c r="F469" s="27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37"/>
      <c r="T469" s="22"/>
    </row>
    <row r="470" spans="1:20" ht="36.75" customHeight="1" x14ac:dyDescent="0.4">
      <c r="A470" s="172"/>
      <c r="B470" s="33" t="s">
        <v>28</v>
      </c>
      <c r="C470" s="56"/>
      <c r="D470" s="35"/>
      <c r="E470" s="30">
        <v>2022</v>
      </c>
      <c r="F470" s="27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7"/>
      <c r="T470" s="37"/>
    </row>
    <row r="471" spans="1:20" ht="36.75" customHeight="1" x14ac:dyDescent="0.4">
      <c r="A471" s="172"/>
      <c r="B471" s="33" t="s">
        <v>28</v>
      </c>
      <c r="C471" s="38" t="s">
        <v>52</v>
      </c>
      <c r="D471" s="38"/>
      <c r="E471" s="30">
        <v>2021</v>
      </c>
      <c r="F471" s="27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7"/>
      <c r="T471" s="37"/>
    </row>
    <row r="472" spans="1:20" ht="36.75" customHeight="1" x14ac:dyDescent="0.4">
      <c r="A472" s="172"/>
      <c r="B472" s="14" t="s">
        <v>60</v>
      </c>
      <c r="C472" s="38"/>
      <c r="D472" s="38"/>
      <c r="E472" s="30">
        <v>2020</v>
      </c>
      <c r="F472" s="27"/>
      <c r="G472" s="36"/>
      <c r="H472" s="36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37"/>
      <c r="T472" s="37"/>
    </row>
    <row r="473" spans="1:20" ht="36.75" customHeight="1" x14ac:dyDescent="0.4">
      <c r="A473" s="41" t="s">
        <v>30</v>
      </c>
      <c r="B473" s="14"/>
      <c r="C473" s="38"/>
      <c r="D473" s="38"/>
      <c r="E473" s="30">
        <v>2019</v>
      </c>
      <c r="F473" s="27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7"/>
      <c r="T473" s="37"/>
    </row>
    <row r="474" spans="1:20" ht="36.75" customHeight="1" x14ac:dyDescent="0.4">
      <c r="A474" s="41"/>
      <c r="B474" s="14"/>
      <c r="C474" s="38"/>
      <c r="D474" s="38"/>
      <c r="E474" s="30">
        <v>2018</v>
      </c>
      <c r="F474" s="27"/>
      <c r="G474" s="40"/>
      <c r="H474" s="40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37"/>
      <c r="T474" s="37"/>
    </row>
    <row r="475" spans="1:20" ht="37.5" thickBot="1" x14ac:dyDescent="0.45">
      <c r="A475" s="13"/>
      <c r="B475" s="14"/>
      <c r="C475" s="14"/>
      <c r="D475" s="15"/>
      <c r="E475" s="49"/>
      <c r="F475" s="50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2">
        <f>SUM(S467:S474)</f>
        <v>0</v>
      </c>
      <c r="T475" s="87">
        <f>SUM(T467:T474)</f>
        <v>0</v>
      </c>
    </row>
    <row r="476" spans="1:20" ht="36.75" x14ac:dyDescent="0.45">
      <c r="A476" s="13"/>
      <c r="B476" s="14"/>
      <c r="C476" s="14"/>
      <c r="D476" s="15"/>
      <c r="E476" s="14"/>
      <c r="F476" s="16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8"/>
      <c r="T476" s="8"/>
    </row>
    <row r="477" spans="1:20" ht="60" customHeight="1" x14ac:dyDescent="0.25">
      <c r="A477" s="55" t="s">
        <v>31</v>
      </c>
      <c r="B477" s="55" t="s">
        <v>7</v>
      </c>
      <c r="C477" s="30" t="s">
        <v>32</v>
      </c>
      <c r="D477" s="30" t="s">
        <v>33</v>
      </c>
      <c r="E477" s="30" t="s">
        <v>34</v>
      </c>
      <c r="F477" s="21" t="s">
        <v>11</v>
      </c>
      <c r="G477" s="40" t="s">
        <v>12</v>
      </c>
      <c r="H477" s="40" t="s">
        <v>13</v>
      </c>
      <c r="I477" s="40" t="s">
        <v>14</v>
      </c>
      <c r="J477" s="40" t="s">
        <v>15</v>
      </c>
      <c r="K477" s="40" t="s">
        <v>16</v>
      </c>
      <c r="L477" s="40" t="s">
        <v>17</v>
      </c>
      <c r="M477" s="40" t="s">
        <v>18</v>
      </c>
      <c r="N477" s="40" t="s">
        <v>19</v>
      </c>
      <c r="O477" s="40" t="s">
        <v>20</v>
      </c>
      <c r="P477" s="40" t="s">
        <v>21</v>
      </c>
      <c r="Q477" s="40" t="s">
        <v>22</v>
      </c>
      <c r="R477" s="40" t="s">
        <v>23</v>
      </c>
      <c r="S477" s="23" t="s">
        <v>24</v>
      </c>
      <c r="T477" s="23" t="s">
        <v>25</v>
      </c>
    </row>
    <row r="478" spans="1:20" ht="51.75" customHeight="1" x14ac:dyDescent="0.25">
      <c r="A478" s="172" t="s">
        <v>140</v>
      </c>
      <c r="B478" s="17"/>
      <c r="C478" s="204" t="s">
        <v>124</v>
      </c>
      <c r="D478" s="19"/>
      <c r="E478" s="26">
        <v>2025</v>
      </c>
      <c r="F478" s="27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64">
        <f>SUM(G478:R478)</f>
        <v>0</v>
      </c>
      <c r="T478" s="29">
        <f>SUM(F478*IF(E478=_current_year,_current_month,12)-(S478))</f>
        <v>0</v>
      </c>
    </row>
    <row r="479" spans="1:20" ht="32.25" customHeight="1" x14ac:dyDescent="0.4">
      <c r="A479" s="172"/>
      <c r="B479" s="33" t="s">
        <v>28</v>
      </c>
      <c r="C479" s="125"/>
      <c r="D479" s="125"/>
      <c r="E479" s="90"/>
      <c r="F479" s="91"/>
      <c r="G479" s="91"/>
      <c r="H479" s="91"/>
      <c r="I479" s="91"/>
      <c r="J479" s="91"/>
      <c r="K479" s="91"/>
      <c r="L479" s="91"/>
      <c r="M479" s="91"/>
      <c r="N479" s="91"/>
      <c r="O479" s="91"/>
      <c r="P479" s="91"/>
      <c r="Q479" s="91"/>
      <c r="R479" s="91"/>
      <c r="S479" s="91"/>
      <c r="T479" s="137"/>
    </row>
    <row r="480" spans="1:20" ht="32.25" customHeight="1" x14ac:dyDescent="0.4">
      <c r="A480" s="41" t="s">
        <v>30</v>
      </c>
      <c r="B480" s="14"/>
      <c r="C480" s="125"/>
      <c r="D480" s="125"/>
      <c r="E480" s="111"/>
      <c r="F480" s="92"/>
      <c r="G480" s="92"/>
      <c r="H480" s="92"/>
      <c r="I480" s="92"/>
      <c r="J480" s="92"/>
      <c r="K480" s="92"/>
      <c r="L480" s="92"/>
      <c r="M480" s="92"/>
      <c r="N480" s="92"/>
      <c r="O480" s="92"/>
      <c r="P480" s="92"/>
      <c r="Q480" s="92"/>
      <c r="R480" s="92"/>
      <c r="S480" s="92"/>
      <c r="T480" s="112"/>
    </row>
    <row r="481" spans="1:20" ht="32.25" customHeight="1" x14ac:dyDescent="0.4">
      <c r="A481" s="41"/>
      <c r="B481" s="14"/>
      <c r="C481" s="125"/>
      <c r="D481" s="125"/>
      <c r="E481" s="113"/>
      <c r="F481" s="114"/>
      <c r="G481" s="114"/>
      <c r="H481" s="114"/>
      <c r="I481" s="114"/>
      <c r="J481" s="114"/>
      <c r="K481" s="114"/>
      <c r="L481" s="114"/>
      <c r="M481" s="114"/>
      <c r="N481" s="114"/>
      <c r="O481" s="114"/>
      <c r="P481" s="114"/>
      <c r="Q481" s="114"/>
      <c r="R481" s="114"/>
      <c r="S481" s="114"/>
      <c r="T481" s="115"/>
    </row>
    <row r="482" spans="1:20" ht="37.5" thickBot="1" x14ac:dyDescent="0.45">
      <c r="A482" s="13"/>
      <c r="B482" s="14"/>
      <c r="C482" s="14"/>
      <c r="D482" s="15"/>
      <c r="E482" s="49"/>
      <c r="F482" s="50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2">
        <f>SUM(S478:S481)</f>
        <v>0</v>
      </c>
      <c r="T482" s="87">
        <f>SUM(T478:T481)</f>
        <v>0</v>
      </c>
    </row>
    <row r="483" spans="1:20" ht="36.75" x14ac:dyDescent="0.45">
      <c r="A483" s="13"/>
      <c r="B483" s="14"/>
      <c r="C483" s="14"/>
      <c r="D483" s="15"/>
      <c r="E483" s="14"/>
      <c r="F483" s="16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8"/>
      <c r="T483" s="8"/>
    </row>
    <row r="484" spans="1:20" ht="60" customHeight="1" x14ac:dyDescent="0.25">
      <c r="A484" s="55" t="s">
        <v>31</v>
      </c>
      <c r="B484" s="55" t="s">
        <v>7</v>
      </c>
      <c r="C484" s="30" t="s">
        <v>32</v>
      </c>
      <c r="D484" s="30" t="s">
        <v>33</v>
      </c>
      <c r="E484" s="30" t="s">
        <v>34</v>
      </c>
      <c r="F484" s="21" t="s">
        <v>11</v>
      </c>
      <c r="G484" s="40" t="s">
        <v>12</v>
      </c>
      <c r="H484" s="40" t="s">
        <v>13</v>
      </c>
      <c r="I484" s="40" t="s">
        <v>14</v>
      </c>
      <c r="J484" s="40" t="s">
        <v>15</v>
      </c>
      <c r="K484" s="40" t="s">
        <v>16</v>
      </c>
      <c r="L484" s="40" t="s">
        <v>17</v>
      </c>
      <c r="M484" s="40" t="s">
        <v>18</v>
      </c>
      <c r="N484" s="40" t="s">
        <v>19</v>
      </c>
      <c r="O484" s="40" t="s">
        <v>20</v>
      </c>
      <c r="P484" s="40" t="s">
        <v>21</v>
      </c>
      <c r="Q484" s="40" t="s">
        <v>22</v>
      </c>
      <c r="R484" s="40" t="s">
        <v>23</v>
      </c>
      <c r="S484" s="23" t="s">
        <v>24</v>
      </c>
      <c r="T484" s="23" t="s">
        <v>25</v>
      </c>
    </row>
    <row r="485" spans="1:20" ht="51.75" customHeight="1" x14ac:dyDescent="0.25">
      <c r="A485" s="172" t="s">
        <v>141</v>
      </c>
      <c r="B485" s="17"/>
      <c r="C485" s="56" t="s">
        <v>142</v>
      </c>
      <c r="D485" s="19"/>
      <c r="E485" s="26">
        <v>2025</v>
      </c>
      <c r="F485" s="27">
        <v>5000</v>
      </c>
      <c r="G485" s="22"/>
      <c r="H485" s="22"/>
      <c r="I485" s="22"/>
      <c r="J485" s="22"/>
      <c r="K485" s="22"/>
      <c r="L485" s="22"/>
      <c r="M485" s="22">
        <v>70000</v>
      </c>
      <c r="N485" s="22"/>
      <c r="O485" s="22"/>
      <c r="P485" s="22"/>
      <c r="Q485" s="22"/>
      <c r="R485" s="22"/>
      <c r="S485" s="64">
        <f>SUM(G485:R485)</f>
        <v>70000</v>
      </c>
      <c r="T485" s="29">
        <f>SUM(F485*IF(E485=_current_year,_current_month,12)-(S485))</f>
        <v>-10000</v>
      </c>
    </row>
    <row r="486" spans="1:20" ht="51.75" customHeight="1" x14ac:dyDescent="0.25">
      <c r="A486" s="172"/>
      <c r="B486" s="17"/>
      <c r="C486" s="56"/>
      <c r="D486" s="19"/>
      <c r="E486" s="30">
        <v>2024</v>
      </c>
      <c r="F486" s="27">
        <v>3000</v>
      </c>
      <c r="G486" s="22">
        <v>54000</v>
      </c>
      <c r="H486" s="22"/>
      <c r="I486" s="22"/>
      <c r="J486" s="22"/>
      <c r="K486" s="22"/>
      <c r="L486" s="22"/>
      <c r="M486" s="22"/>
      <c r="N486" s="22"/>
      <c r="O486" s="22">
        <v>18000</v>
      </c>
      <c r="P486" s="22"/>
      <c r="Q486" s="22"/>
      <c r="R486" s="22"/>
      <c r="S486" s="37">
        <f>SUM(G486:R486)</f>
        <v>72000</v>
      </c>
      <c r="T486" s="22">
        <f>SUM(F486*IF(E486=_current_year,_current_month,12)-(S486))</f>
        <v>-36000</v>
      </c>
    </row>
    <row r="487" spans="1:20" ht="51.75" customHeight="1" x14ac:dyDescent="0.25">
      <c r="A487" s="172"/>
      <c r="B487" s="17"/>
      <c r="C487" s="56"/>
      <c r="D487" s="19"/>
      <c r="E487" s="30">
        <v>2023</v>
      </c>
      <c r="F487" s="27">
        <v>3000</v>
      </c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37">
        <f>SUM(G487:R487)</f>
        <v>0</v>
      </c>
      <c r="T487" s="22">
        <f>SUM(F487*12)-(S487)</f>
        <v>36000</v>
      </c>
    </row>
    <row r="488" spans="1:20" ht="36.75" customHeight="1" x14ac:dyDescent="0.4">
      <c r="A488" s="172"/>
      <c r="B488" s="33" t="s">
        <v>28</v>
      </c>
      <c r="C488" s="56"/>
      <c r="D488" s="35"/>
      <c r="E488" s="30">
        <v>2022</v>
      </c>
      <c r="F488" s="27">
        <v>3000</v>
      </c>
      <c r="G488" s="36"/>
      <c r="H488" s="36"/>
      <c r="I488" s="36"/>
      <c r="J488" s="36"/>
      <c r="K488" s="36"/>
      <c r="L488" s="36"/>
      <c r="M488" s="36"/>
      <c r="N488" s="36">
        <v>36000</v>
      </c>
      <c r="O488" s="36"/>
      <c r="P488" s="36"/>
      <c r="Q488" s="36"/>
      <c r="R488" s="36"/>
      <c r="S488" s="37">
        <f>SUM(G488:R488)</f>
        <v>36000</v>
      </c>
      <c r="T488" s="37">
        <f>SUM(36000-S488)</f>
        <v>0</v>
      </c>
    </row>
    <row r="489" spans="1:20" ht="59.25" customHeight="1" x14ac:dyDescent="0.4">
      <c r="A489" s="172"/>
      <c r="B489" s="33" t="s">
        <v>28</v>
      </c>
      <c r="C489" s="38" t="s">
        <v>52</v>
      </c>
      <c r="D489" s="38"/>
      <c r="E489" s="30">
        <v>2021</v>
      </c>
      <c r="F489" s="27">
        <v>3000</v>
      </c>
      <c r="G489" s="36"/>
      <c r="H489" s="36">
        <v>18000</v>
      </c>
      <c r="I489" s="36"/>
      <c r="J489" s="36"/>
      <c r="K489" s="36"/>
      <c r="L489" s="36"/>
      <c r="M489" s="36"/>
      <c r="N489" s="36"/>
      <c r="O489" s="36"/>
      <c r="P489" s="36">
        <v>30000</v>
      </c>
      <c r="Q489" s="36"/>
      <c r="R489" s="36"/>
      <c r="S489" s="37">
        <f>SUM(G489:R489)</f>
        <v>48000</v>
      </c>
      <c r="T489" s="37">
        <f>SUM(36000-S489)</f>
        <v>-12000</v>
      </c>
    </row>
    <row r="490" spans="1:20" ht="36.75" customHeight="1" x14ac:dyDescent="0.4">
      <c r="A490" s="41" t="s">
        <v>30</v>
      </c>
      <c r="B490" s="14" t="s">
        <v>68</v>
      </c>
      <c r="C490" s="38"/>
      <c r="D490" s="38"/>
      <c r="E490" s="30">
        <v>2020</v>
      </c>
      <c r="F490" s="27">
        <v>3000</v>
      </c>
      <c r="G490" s="36"/>
      <c r="H490" s="205"/>
      <c r="I490" s="36"/>
      <c r="J490" s="36"/>
      <c r="K490" s="36">
        <v>18000</v>
      </c>
      <c r="L490" s="36"/>
      <c r="M490" s="36"/>
      <c r="N490" s="36"/>
      <c r="O490" s="36"/>
      <c r="P490" s="36"/>
      <c r="Q490" s="36"/>
      <c r="R490" s="36"/>
      <c r="S490" s="37">
        <f>SUM(I490:R490)</f>
        <v>18000</v>
      </c>
      <c r="T490" s="37">
        <f>SUM(30000-S490)</f>
        <v>12000</v>
      </c>
    </row>
    <row r="491" spans="1:20" ht="36.75" customHeight="1" x14ac:dyDescent="0.4">
      <c r="A491" s="41"/>
      <c r="B491" s="14"/>
      <c r="C491" s="38"/>
      <c r="D491" s="38"/>
      <c r="E491" s="30"/>
      <c r="F491" s="30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7"/>
      <c r="T491" s="37"/>
    </row>
    <row r="492" spans="1:20" ht="37.5" thickBot="1" x14ac:dyDescent="0.45">
      <c r="A492" s="13"/>
      <c r="B492" s="14"/>
      <c r="C492" s="14"/>
      <c r="D492" s="15"/>
      <c r="E492" s="49"/>
      <c r="F492" s="50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2">
        <f>SUM(S485:S491)</f>
        <v>244000</v>
      </c>
      <c r="T492" s="87">
        <f>SUM(T485:T491)</f>
        <v>-10000</v>
      </c>
    </row>
    <row r="493" spans="1:20" ht="36.75" x14ac:dyDescent="0.45">
      <c r="A493" s="13"/>
      <c r="B493" s="14"/>
      <c r="C493" s="14"/>
      <c r="D493" s="15"/>
      <c r="E493" s="14"/>
      <c r="F493" s="16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8"/>
      <c r="T493" s="8"/>
    </row>
    <row r="494" spans="1:20" ht="60" customHeight="1" x14ac:dyDescent="0.25">
      <c r="A494" s="55" t="s">
        <v>31</v>
      </c>
      <c r="B494" s="55" t="s">
        <v>7</v>
      </c>
      <c r="C494" s="30" t="s">
        <v>32</v>
      </c>
      <c r="D494" s="30" t="s">
        <v>33</v>
      </c>
      <c r="E494" s="30" t="s">
        <v>34</v>
      </c>
      <c r="F494" s="21" t="s">
        <v>11</v>
      </c>
      <c r="G494" s="40" t="s">
        <v>12</v>
      </c>
      <c r="H494" s="40" t="s">
        <v>13</v>
      </c>
      <c r="I494" s="40" t="s">
        <v>14</v>
      </c>
      <c r="J494" s="40" t="s">
        <v>15</v>
      </c>
      <c r="K494" s="40" t="s">
        <v>16</v>
      </c>
      <c r="L494" s="40" t="s">
        <v>17</v>
      </c>
      <c r="M494" s="40" t="s">
        <v>18</v>
      </c>
      <c r="N494" s="40" t="s">
        <v>19</v>
      </c>
      <c r="O494" s="40" t="s">
        <v>20</v>
      </c>
      <c r="P494" s="40" t="s">
        <v>21</v>
      </c>
      <c r="Q494" s="40" t="s">
        <v>22</v>
      </c>
      <c r="R494" s="40" t="s">
        <v>23</v>
      </c>
      <c r="S494" s="23" t="s">
        <v>24</v>
      </c>
      <c r="T494" s="23" t="s">
        <v>25</v>
      </c>
    </row>
    <row r="495" spans="1:20" ht="51.75" customHeight="1" x14ac:dyDescent="0.25">
      <c r="A495" s="172" t="s">
        <v>143</v>
      </c>
      <c r="B495" s="17"/>
      <c r="C495" s="25" t="s">
        <v>144</v>
      </c>
      <c r="D495" s="19"/>
      <c r="E495" s="26">
        <v>2025</v>
      </c>
      <c r="F495" s="27">
        <v>5000</v>
      </c>
      <c r="G495" s="22"/>
      <c r="H495" s="22"/>
      <c r="I495" s="22"/>
      <c r="J495" s="22"/>
      <c r="K495" s="22">
        <v>30000</v>
      </c>
      <c r="L495" s="22">
        <v>15000</v>
      </c>
      <c r="M495" s="22"/>
      <c r="N495" s="22"/>
      <c r="O495" s="22"/>
      <c r="P495" s="22"/>
      <c r="Q495" s="22"/>
      <c r="R495" s="22"/>
      <c r="S495" s="64">
        <f>SUM(G495:R495)</f>
        <v>45000</v>
      </c>
      <c r="T495" s="29">
        <f>SUM(F495*IF(E495=_current_year,_current_month,12)-(S495))</f>
        <v>15000</v>
      </c>
    </row>
    <row r="496" spans="1:20" ht="51.75" customHeight="1" x14ac:dyDescent="0.25">
      <c r="A496" s="172"/>
      <c r="B496" s="17"/>
      <c r="C496" s="25"/>
      <c r="D496" s="19"/>
      <c r="E496" s="26">
        <v>2024</v>
      </c>
      <c r="F496" s="27">
        <v>3000</v>
      </c>
      <c r="G496" s="22"/>
      <c r="H496" s="22">
        <v>36000</v>
      </c>
      <c r="I496" s="22"/>
      <c r="J496" s="22"/>
      <c r="K496" s="22"/>
      <c r="L496" s="22">
        <v>9000</v>
      </c>
      <c r="M496" s="22"/>
      <c r="N496" s="22"/>
      <c r="O496" s="22">
        <v>12000</v>
      </c>
      <c r="P496" s="22"/>
      <c r="Q496" s="22"/>
      <c r="R496" s="22"/>
      <c r="S496" s="64">
        <f>SUM(G496:R496)</f>
        <v>57000</v>
      </c>
      <c r="T496" s="29">
        <f>SUM(F496*IF(E496=_current_year,_current_month,12)-(S496))</f>
        <v>-21000</v>
      </c>
    </row>
    <row r="497" spans="1:20" ht="51.75" customHeight="1" x14ac:dyDescent="0.25">
      <c r="A497" s="172"/>
      <c r="B497" s="17"/>
      <c r="C497" s="25"/>
      <c r="D497" s="19"/>
      <c r="E497" s="30">
        <v>2023</v>
      </c>
      <c r="F497" s="27">
        <v>3000</v>
      </c>
      <c r="G497" s="22"/>
      <c r="H497" s="22">
        <v>9000</v>
      </c>
      <c r="I497" s="22"/>
      <c r="J497" s="22"/>
      <c r="K497" s="22">
        <v>21000</v>
      </c>
      <c r="L497" s="22"/>
      <c r="M497" s="22"/>
      <c r="N497" s="22"/>
      <c r="O497" s="22"/>
      <c r="P497" s="22"/>
      <c r="Q497" s="22"/>
      <c r="R497" s="22"/>
      <c r="S497" s="37">
        <f>SUM(G497:R497)</f>
        <v>30000</v>
      </c>
      <c r="T497" s="22">
        <f>SUM(F497*12)-(S497)</f>
        <v>6000</v>
      </c>
    </row>
    <row r="498" spans="1:20" ht="36.75" customHeight="1" x14ac:dyDescent="0.4">
      <c r="A498" s="172"/>
      <c r="B498" s="33" t="s">
        <v>28</v>
      </c>
      <c r="C498" s="25"/>
      <c r="D498" s="35"/>
      <c r="E498" s="30">
        <v>2022</v>
      </c>
      <c r="F498" s="27">
        <v>3000</v>
      </c>
      <c r="G498" s="36"/>
      <c r="H498" s="36"/>
      <c r="I498" s="36"/>
      <c r="J498" s="36">
        <v>12000</v>
      </c>
      <c r="K498" s="36"/>
      <c r="L498" s="36"/>
      <c r="M498" s="36"/>
      <c r="N498" s="36">
        <v>12000</v>
      </c>
      <c r="O498" s="36"/>
      <c r="P498" s="36"/>
      <c r="Q498" s="36"/>
      <c r="R498" s="36"/>
      <c r="S498" s="37">
        <f>SUM(G498:R498)</f>
        <v>24000</v>
      </c>
      <c r="T498" s="37">
        <f>SUM(36000-S498)</f>
        <v>12000</v>
      </c>
    </row>
    <row r="499" spans="1:20" ht="59.25" customHeight="1" x14ac:dyDescent="0.4">
      <c r="A499" s="172"/>
      <c r="B499" s="33" t="s">
        <v>28</v>
      </c>
      <c r="C499" s="38" t="s">
        <v>52</v>
      </c>
      <c r="D499" s="38"/>
      <c r="E499" s="30">
        <v>2021</v>
      </c>
      <c r="F499" s="27">
        <v>3000</v>
      </c>
      <c r="G499" s="36"/>
      <c r="H499" s="36"/>
      <c r="I499" s="36"/>
      <c r="J499" s="36"/>
      <c r="K499" s="36"/>
      <c r="L499" s="36"/>
      <c r="M499" s="36"/>
      <c r="N499" s="205"/>
      <c r="O499" s="36"/>
      <c r="P499" s="36">
        <v>9000</v>
      </c>
      <c r="Q499" s="36"/>
      <c r="R499" s="36"/>
      <c r="S499" s="37">
        <f>SUM(G499:R499)</f>
        <v>9000</v>
      </c>
      <c r="T499" s="37">
        <f>SUM(12000-S499)</f>
        <v>3000</v>
      </c>
    </row>
    <row r="500" spans="1:20" ht="36.75" customHeight="1" x14ac:dyDescent="0.4">
      <c r="A500" s="41" t="s">
        <v>30</v>
      </c>
      <c r="B500" s="14" t="s">
        <v>68</v>
      </c>
      <c r="C500" s="38"/>
      <c r="D500" s="38"/>
      <c r="E500" s="49"/>
      <c r="F500" s="49"/>
      <c r="G500" s="104"/>
      <c r="H500" s="104"/>
      <c r="I500" s="104"/>
      <c r="J500" s="104"/>
      <c r="K500" s="104"/>
      <c r="L500" s="104"/>
      <c r="M500" s="104"/>
      <c r="N500" s="104"/>
      <c r="O500" s="104"/>
      <c r="P500" s="104"/>
      <c r="Q500" s="104"/>
      <c r="R500" s="104"/>
      <c r="S500" s="105"/>
      <c r="T500" s="105"/>
    </row>
    <row r="501" spans="1:20" ht="36.75" customHeight="1" thickBot="1" x14ac:dyDescent="0.45">
      <c r="A501" s="41"/>
      <c r="B501" s="14"/>
      <c r="C501" s="38"/>
      <c r="D501" s="38"/>
      <c r="E501" s="49"/>
      <c r="F501" s="49"/>
      <c r="G501" s="104"/>
      <c r="H501" s="104"/>
      <c r="I501" s="104"/>
      <c r="J501" s="104"/>
      <c r="K501" s="104"/>
      <c r="L501" s="104"/>
      <c r="M501" s="104"/>
      <c r="N501" s="104"/>
      <c r="O501" s="104"/>
      <c r="P501" s="104"/>
      <c r="Q501" s="104"/>
      <c r="R501" s="104"/>
      <c r="S501" s="105"/>
      <c r="T501" s="178"/>
    </row>
    <row r="502" spans="1:20" ht="38.25" thickTop="1" thickBot="1" x14ac:dyDescent="0.45">
      <c r="A502" s="13"/>
      <c r="B502" s="14"/>
      <c r="C502" s="14"/>
      <c r="D502" s="15"/>
      <c r="E502" s="49"/>
      <c r="F502" s="50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2">
        <f>SUM(S495:S501)</f>
        <v>165000</v>
      </c>
      <c r="T502" s="87">
        <f>SUM(T495:T501)</f>
        <v>15000</v>
      </c>
    </row>
    <row r="505" spans="1:20" ht="36.75" x14ac:dyDescent="0.45">
      <c r="A505" s="13"/>
      <c r="B505" s="14"/>
      <c r="C505" s="14"/>
      <c r="D505" s="15"/>
      <c r="E505" s="14"/>
      <c r="F505" s="16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8"/>
      <c r="T505" s="8"/>
    </row>
    <row r="506" spans="1:20" ht="60" customHeight="1" x14ac:dyDescent="0.25">
      <c r="A506" s="55" t="s">
        <v>31</v>
      </c>
      <c r="B506" s="55" t="s">
        <v>7</v>
      </c>
      <c r="C506" s="30" t="s">
        <v>32</v>
      </c>
      <c r="D506" s="30" t="s">
        <v>33</v>
      </c>
      <c r="E506" s="30" t="s">
        <v>34</v>
      </c>
      <c r="F506" s="21" t="s">
        <v>11</v>
      </c>
      <c r="G506" s="40" t="s">
        <v>12</v>
      </c>
      <c r="H506" s="40" t="s">
        <v>13</v>
      </c>
      <c r="I506" s="40" t="s">
        <v>14</v>
      </c>
      <c r="J506" s="40" t="s">
        <v>15</v>
      </c>
      <c r="K506" s="40" t="s">
        <v>16</v>
      </c>
      <c r="L506" s="40" t="s">
        <v>17</v>
      </c>
      <c r="M506" s="40" t="s">
        <v>18</v>
      </c>
      <c r="N506" s="40" t="s">
        <v>19</v>
      </c>
      <c r="O506" s="40" t="s">
        <v>20</v>
      </c>
      <c r="P506" s="40" t="s">
        <v>21</v>
      </c>
      <c r="Q506" s="40" t="s">
        <v>22</v>
      </c>
      <c r="R506" s="40" t="s">
        <v>23</v>
      </c>
      <c r="S506" s="23" t="s">
        <v>24</v>
      </c>
      <c r="T506" s="23" t="s">
        <v>25</v>
      </c>
    </row>
    <row r="507" spans="1:20" ht="51.75" customHeight="1" x14ac:dyDescent="0.25">
      <c r="A507" s="172">
        <v>23</v>
      </c>
      <c r="B507" s="17"/>
      <c r="C507" s="25" t="s">
        <v>145</v>
      </c>
      <c r="D507" s="19"/>
      <c r="E507" s="26">
        <v>2025</v>
      </c>
      <c r="F507" s="27">
        <v>10000</v>
      </c>
      <c r="G507" s="22"/>
      <c r="H507" s="22"/>
      <c r="I507" s="22"/>
      <c r="J507" s="22"/>
      <c r="K507" s="22"/>
      <c r="L507" s="22"/>
      <c r="M507" s="22">
        <v>70000</v>
      </c>
      <c r="N507" s="22"/>
      <c r="O507" s="22"/>
      <c r="P507" s="22"/>
      <c r="Q507" s="22"/>
      <c r="R507" s="22"/>
      <c r="S507" s="64">
        <f>SUM(G507:R507)</f>
        <v>70000</v>
      </c>
      <c r="T507" s="29">
        <f>SUM(F507*IF(E507=_current_year,_current_month,12)-(S507))</f>
        <v>50000</v>
      </c>
    </row>
    <row r="508" spans="1:20" ht="51.75" customHeight="1" x14ac:dyDescent="0.25">
      <c r="A508" s="172"/>
      <c r="B508" s="17"/>
      <c r="C508" s="25"/>
      <c r="D508" s="19"/>
      <c r="E508" s="30">
        <v>2024</v>
      </c>
      <c r="F508" s="27">
        <v>5000</v>
      </c>
      <c r="G508" s="22"/>
      <c r="H508" s="22"/>
      <c r="I508" s="22"/>
      <c r="J508" s="22"/>
      <c r="K508" s="22"/>
      <c r="L508" s="22"/>
      <c r="M508" s="22"/>
      <c r="N508" s="205"/>
      <c r="O508" s="22"/>
      <c r="P508" s="22"/>
      <c r="Q508" s="22"/>
      <c r="R508" s="22"/>
      <c r="S508" s="37">
        <f>SUM(G508:R508)</f>
        <v>0</v>
      </c>
      <c r="T508" s="22">
        <f>SUM(F508*IF(E508=_current_year,_current_month,5)-(S508))</f>
        <v>25000</v>
      </c>
    </row>
    <row r="509" spans="1:20" ht="51.75" customHeight="1" x14ac:dyDescent="0.25">
      <c r="A509" s="172"/>
      <c r="B509" s="17"/>
      <c r="C509" s="25"/>
      <c r="D509" s="19"/>
      <c r="E509" s="73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5"/>
    </row>
    <row r="510" spans="1:20" ht="36.75" customHeight="1" x14ac:dyDescent="0.4">
      <c r="A510" s="172"/>
      <c r="B510" s="33" t="s">
        <v>28</v>
      </c>
      <c r="C510" s="25"/>
      <c r="D510" s="35"/>
      <c r="E510" s="77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9"/>
    </row>
    <row r="511" spans="1:20" ht="59.25" customHeight="1" x14ac:dyDescent="0.4">
      <c r="A511" s="172"/>
      <c r="B511" s="33" t="s">
        <v>28</v>
      </c>
      <c r="C511" s="38" t="s">
        <v>52</v>
      </c>
      <c r="D511" s="38"/>
      <c r="E511" s="77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9"/>
    </row>
    <row r="512" spans="1:20" ht="36.75" customHeight="1" x14ac:dyDescent="0.4">
      <c r="A512" s="41" t="s">
        <v>30</v>
      </c>
      <c r="B512" s="14" t="s">
        <v>68</v>
      </c>
      <c r="C512" s="38"/>
      <c r="D512" s="38"/>
      <c r="E512" s="49"/>
      <c r="F512" s="49"/>
      <c r="G512" s="104"/>
      <c r="H512" s="104"/>
      <c r="I512" s="104"/>
      <c r="J512" s="104"/>
      <c r="K512" s="104"/>
      <c r="L512" s="104"/>
      <c r="M512" s="104"/>
      <c r="N512" s="104"/>
      <c r="O512" s="104"/>
      <c r="P512" s="104"/>
      <c r="Q512" s="104"/>
      <c r="R512" s="104"/>
      <c r="S512" s="105"/>
      <c r="T512" s="105"/>
    </row>
    <row r="513" spans="1:20" ht="36.75" customHeight="1" thickBot="1" x14ac:dyDescent="0.45">
      <c r="A513" s="41"/>
      <c r="B513" s="14"/>
      <c r="C513" s="38"/>
      <c r="D513" s="38"/>
      <c r="E513" s="49"/>
      <c r="F513" s="49"/>
      <c r="G513" s="104"/>
      <c r="H513" s="104"/>
      <c r="I513" s="104"/>
      <c r="J513" s="104"/>
      <c r="K513" s="104"/>
      <c r="L513" s="104"/>
      <c r="M513" s="104"/>
      <c r="N513" s="104"/>
      <c r="O513" s="104"/>
      <c r="P513" s="104"/>
      <c r="Q513" s="104"/>
      <c r="R513" s="104"/>
      <c r="S513" s="105"/>
      <c r="T513" s="178"/>
    </row>
    <row r="514" spans="1:20" ht="38.25" thickTop="1" thickBot="1" x14ac:dyDescent="0.45">
      <c r="A514" s="13"/>
      <c r="B514" s="14"/>
      <c r="C514" s="14"/>
      <c r="D514" s="15"/>
      <c r="E514" s="49"/>
      <c r="F514" s="50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2">
        <f>SUM(S507:S513)</f>
        <v>70000</v>
      </c>
      <c r="T514" s="87">
        <f>SUM(T507:T513)</f>
        <v>75000</v>
      </c>
    </row>
    <row r="523" spans="1:20" ht="36.75" x14ac:dyDescent="0.45">
      <c r="A523" s="13"/>
      <c r="B523" s="14"/>
      <c r="C523" s="14"/>
      <c r="D523" s="15"/>
      <c r="E523" s="14"/>
      <c r="F523" s="16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8"/>
      <c r="T523" s="8"/>
    </row>
    <row r="524" spans="1:20" ht="51.75" customHeight="1" x14ac:dyDescent="0.45">
      <c r="A524" s="206"/>
      <c r="B524" s="207"/>
      <c r="C524" s="207"/>
      <c r="D524" s="208"/>
      <c r="E524" s="207"/>
      <c r="F524" s="209"/>
      <c r="G524" s="207"/>
      <c r="H524" s="207"/>
      <c r="I524" s="207"/>
      <c r="J524" s="207"/>
      <c r="K524" s="207"/>
      <c r="L524" s="207"/>
      <c r="M524" s="207"/>
      <c r="N524" s="207"/>
      <c r="O524" s="207"/>
      <c r="P524" s="207"/>
      <c r="Q524" s="207"/>
      <c r="R524" s="207"/>
      <c r="S524" s="210"/>
      <c r="T524" s="210"/>
    </row>
    <row r="525" spans="1:20" ht="60" hidden="1" customHeight="1" outlineLevel="1" x14ac:dyDescent="0.25">
      <c r="A525" s="55" t="s">
        <v>31</v>
      </c>
      <c r="B525" s="55" t="s">
        <v>7</v>
      </c>
      <c r="C525" s="30" t="s">
        <v>32</v>
      </c>
      <c r="D525" s="30" t="s">
        <v>33</v>
      </c>
      <c r="E525" s="30" t="s">
        <v>34</v>
      </c>
      <c r="F525" s="21" t="s">
        <v>11</v>
      </c>
      <c r="G525" s="40" t="s">
        <v>12</v>
      </c>
      <c r="H525" s="40" t="s">
        <v>13</v>
      </c>
      <c r="I525" s="40" t="s">
        <v>14</v>
      </c>
      <c r="J525" s="40" t="s">
        <v>15</v>
      </c>
      <c r="K525" s="40" t="s">
        <v>16</v>
      </c>
      <c r="L525" s="40" t="s">
        <v>17</v>
      </c>
      <c r="M525" s="40" t="s">
        <v>18</v>
      </c>
      <c r="N525" s="40" t="s">
        <v>19</v>
      </c>
      <c r="O525" s="40" t="s">
        <v>20</v>
      </c>
      <c r="P525" s="40" t="s">
        <v>21</v>
      </c>
      <c r="Q525" s="40" t="s">
        <v>22</v>
      </c>
      <c r="R525" s="40" t="s">
        <v>23</v>
      </c>
      <c r="S525" s="23" t="s">
        <v>24</v>
      </c>
      <c r="T525" s="23" t="s">
        <v>25</v>
      </c>
    </row>
    <row r="526" spans="1:20" ht="51.75" hidden="1" customHeight="1" outlineLevel="1" x14ac:dyDescent="0.25">
      <c r="A526" s="24">
        <v>24</v>
      </c>
      <c r="B526" s="17"/>
      <c r="C526" s="211" t="s">
        <v>146</v>
      </c>
      <c r="D526" s="19"/>
      <c r="E526" s="26">
        <v>2024</v>
      </c>
      <c r="F526" s="27">
        <v>5000</v>
      </c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64">
        <f>SUM(G526:R526)</f>
        <v>0</v>
      </c>
      <c r="T526" s="29">
        <f>SUM(F526*IF(E526=_current_year,_current_month,12)-(S526))</f>
        <v>60000</v>
      </c>
    </row>
    <row r="527" spans="1:20" ht="51.75" hidden="1" customHeight="1" outlineLevel="1" x14ac:dyDescent="0.25">
      <c r="A527" s="24"/>
      <c r="B527" s="17"/>
      <c r="C527" s="212"/>
      <c r="D527" s="19"/>
      <c r="E527" s="30">
        <v>2023</v>
      </c>
      <c r="F527" s="27">
        <v>5000</v>
      </c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37">
        <f>SUM(G527:R527)</f>
        <v>0</v>
      </c>
      <c r="T527" s="22">
        <f>SUM(F527*IF(E527=_current_year,_current_month,12)-(S527))</f>
        <v>60000</v>
      </c>
    </row>
    <row r="528" spans="1:20" ht="73.5" hidden="1" customHeight="1" outlineLevel="1" x14ac:dyDescent="0.4">
      <c r="A528" s="24"/>
      <c r="B528" s="33" t="s">
        <v>28</v>
      </c>
      <c r="C528" s="76" t="s">
        <v>147</v>
      </c>
      <c r="D528" s="35"/>
      <c r="E528" s="90"/>
      <c r="F528" s="91" t="s">
        <v>148</v>
      </c>
      <c r="G528" s="91"/>
      <c r="H528" s="91"/>
      <c r="I528" s="213" t="s">
        <v>149</v>
      </c>
      <c r="J528" s="91"/>
      <c r="K528" s="91" t="s">
        <v>150</v>
      </c>
      <c r="L528" s="91"/>
      <c r="M528" s="91"/>
      <c r="N528" s="91"/>
      <c r="O528" s="91"/>
      <c r="P528" s="91"/>
      <c r="Q528" s="91"/>
      <c r="R528" s="137"/>
      <c r="S528" s="98"/>
      <c r="T528" s="98"/>
    </row>
    <row r="529" spans="1:20" ht="61.5" hidden="1" customHeight="1" outlineLevel="1" x14ac:dyDescent="0.4">
      <c r="A529" s="214" t="s">
        <v>151</v>
      </c>
      <c r="B529" s="33" t="s">
        <v>28</v>
      </c>
      <c r="C529" s="38" t="s">
        <v>52</v>
      </c>
      <c r="D529" s="38"/>
      <c r="E529" s="111"/>
      <c r="F529" s="92"/>
      <c r="G529" s="92"/>
      <c r="H529" s="92"/>
      <c r="I529" s="92"/>
      <c r="J529" s="92"/>
      <c r="K529" s="92" t="s">
        <v>152</v>
      </c>
      <c r="L529" s="92"/>
      <c r="M529" s="92"/>
      <c r="N529" s="92"/>
      <c r="O529" s="92"/>
      <c r="P529" s="92"/>
      <c r="Q529" s="92"/>
      <c r="R529" s="112"/>
      <c r="S529" s="98"/>
      <c r="T529" s="98"/>
    </row>
    <row r="530" spans="1:20" ht="36.75" hidden="1" customHeight="1" outlineLevel="1" x14ac:dyDescent="0.4">
      <c r="A530" s="41" t="s">
        <v>30</v>
      </c>
      <c r="B530" s="14" t="s">
        <v>28</v>
      </c>
      <c r="C530" s="38"/>
      <c r="D530" s="38"/>
      <c r="E530" s="111"/>
      <c r="F530" s="92"/>
      <c r="G530" s="92"/>
      <c r="H530" s="92"/>
      <c r="I530" s="92"/>
      <c r="J530" s="92"/>
      <c r="K530" s="92" t="s">
        <v>153</v>
      </c>
      <c r="L530" s="92"/>
      <c r="M530" s="92"/>
      <c r="N530" s="92"/>
      <c r="O530" s="92"/>
      <c r="P530" s="92"/>
      <c r="Q530" s="92"/>
      <c r="R530" s="112"/>
      <c r="S530" s="98"/>
      <c r="T530" s="98"/>
    </row>
    <row r="531" spans="1:20" ht="36.75" hidden="1" customHeight="1" outlineLevel="1" x14ac:dyDescent="0.4">
      <c r="A531" s="41"/>
      <c r="B531" s="14"/>
      <c r="C531" s="38"/>
      <c r="D531" s="38"/>
      <c r="E531" s="113"/>
      <c r="F531" s="114"/>
      <c r="G531" s="114"/>
      <c r="H531" s="114"/>
      <c r="I531" s="114"/>
      <c r="J531" s="114"/>
      <c r="K531" s="114"/>
      <c r="L531" s="114"/>
      <c r="M531" s="114"/>
      <c r="N531" s="114"/>
      <c r="O531" s="114"/>
      <c r="P531" s="114"/>
      <c r="Q531" s="114"/>
      <c r="R531" s="115"/>
      <c r="S531" s="98"/>
      <c r="T531" s="98"/>
    </row>
    <row r="532" spans="1:20" ht="37.5" hidden="1" outlineLevel="1" thickBot="1" x14ac:dyDescent="0.45">
      <c r="A532" s="13"/>
      <c r="B532" s="14"/>
      <c r="C532" s="14"/>
      <c r="D532" s="15"/>
      <c r="E532" s="49"/>
      <c r="F532" s="50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2">
        <f>SUM(S526:S531)</f>
        <v>0</v>
      </c>
      <c r="T532" s="52">
        <f>SUM(T526:T531)</f>
        <v>120000</v>
      </c>
    </row>
    <row r="533" spans="1:20" ht="36.75" hidden="1" outlineLevel="1" x14ac:dyDescent="0.4">
      <c r="A533" s="13"/>
      <c r="B533" s="14"/>
      <c r="C533" s="14"/>
      <c r="D533" s="15"/>
      <c r="E533" s="49"/>
      <c r="F533" s="132"/>
      <c r="G533" s="104"/>
      <c r="H533" s="104"/>
      <c r="I533" s="104"/>
      <c r="J533" s="104"/>
      <c r="K533" s="104"/>
      <c r="L533" s="104"/>
      <c r="M533" s="104"/>
      <c r="N533" s="104"/>
      <c r="O533" s="104"/>
      <c r="P533" s="104"/>
      <c r="Q533" s="104"/>
      <c r="R533" s="104"/>
      <c r="S533" s="105"/>
      <c r="T533" s="105"/>
    </row>
    <row r="534" spans="1:20" ht="60" hidden="1" customHeight="1" outlineLevel="1" x14ac:dyDescent="0.25">
      <c r="A534" s="55" t="s">
        <v>31</v>
      </c>
      <c r="B534" s="55" t="s">
        <v>7</v>
      </c>
      <c r="C534" s="30" t="s">
        <v>32</v>
      </c>
      <c r="D534" s="30" t="s">
        <v>33</v>
      </c>
      <c r="E534" s="30" t="s">
        <v>34</v>
      </c>
      <c r="F534" s="21" t="s">
        <v>11</v>
      </c>
      <c r="G534" s="40" t="s">
        <v>12</v>
      </c>
      <c r="H534" s="40" t="s">
        <v>13</v>
      </c>
      <c r="I534" s="40" t="s">
        <v>14</v>
      </c>
      <c r="J534" s="40" t="s">
        <v>15</v>
      </c>
      <c r="K534" s="40" t="s">
        <v>16</v>
      </c>
      <c r="L534" s="40" t="s">
        <v>17</v>
      </c>
      <c r="M534" s="40" t="s">
        <v>18</v>
      </c>
      <c r="N534" s="40" t="s">
        <v>19</v>
      </c>
      <c r="O534" s="40" t="s">
        <v>20</v>
      </c>
      <c r="P534" s="40" t="s">
        <v>21</v>
      </c>
      <c r="Q534" s="40" t="s">
        <v>22</v>
      </c>
      <c r="R534" s="40" t="s">
        <v>23</v>
      </c>
      <c r="S534" s="23" t="s">
        <v>24</v>
      </c>
      <c r="T534" s="23" t="s">
        <v>25</v>
      </c>
    </row>
    <row r="535" spans="1:20" ht="51.75" hidden="1" customHeight="1" outlineLevel="1" x14ac:dyDescent="0.25">
      <c r="A535" s="24">
        <v>24</v>
      </c>
      <c r="B535" s="17"/>
      <c r="C535" s="65"/>
      <c r="D535" s="19"/>
      <c r="E535" s="26">
        <v>2024</v>
      </c>
      <c r="F535" s="27">
        <v>5000</v>
      </c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64">
        <f>SUM(G535:R535)</f>
        <v>0</v>
      </c>
      <c r="T535" s="29">
        <f>SUM(F535*IF(E535=_current_year,_current_month,12)-(S535))</f>
        <v>60000</v>
      </c>
    </row>
    <row r="536" spans="1:20" ht="51.75" hidden="1" customHeight="1" outlineLevel="1" x14ac:dyDescent="0.25">
      <c r="A536" s="24"/>
      <c r="B536" s="17"/>
      <c r="C536" s="65"/>
      <c r="D536" s="19"/>
      <c r="E536" s="26">
        <v>2023</v>
      </c>
      <c r="F536" s="27">
        <v>5000</v>
      </c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64">
        <f>SUM(G536:R536)</f>
        <v>0</v>
      </c>
      <c r="T536" s="29">
        <f>SUM(F536*IF(E536=_current_year,_current_month,12)-(S536))</f>
        <v>60000</v>
      </c>
    </row>
    <row r="537" spans="1:20" ht="73.5" hidden="1" customHeight="1" outlineLevel="1" x14ac:dyDescent="0.4">
      <c r="A537" s="24"/>
      <c r="B537" s="33" t="s">
        <v>28</v>
      </c>
      <c r="C537" s="76" t="s">
        <v>147</v>
      </c>
      <c r="D537" s="35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98"/>
      <c r="T537" s="98"/>
    </row>
    <row r="538" spans="1:20" ht="61.5" hidden="1" customHeight="1" outlineLevel="1" x14ac:dyDescent="0.4">
      <c r="A538" s="214" t="s">
        <v>154</v>
      </c>
      <c r="B538" s="33" t="s">
        <v>28</v>
      </c>
      <c r="C538" s="38" t="s">
        <v>52</v>
      </c>
      <c r="D538" s="38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98"/>
      <c r="T538" s="98"/>
    </row>
    <row r="539" spans="1:20" ht="36.75" hidden="1" customHeight="1" outlineLevel="1" x14ac:dyDescent="0.4">
      <c r="A539" s="41" t="s">
        <v>30</v>
      </c>
      <c r="B539" s="14" t="s">
        <v>28</v>
      </c>
      <c r="C539" s="38"/>
      <c r="D539" s="38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98"/>
      <c r="T539" s="98"/>
    </row>
    <row r="540" spans="1:20" ht="36.75" hidden="1" customHeight="1" outlineLevel="1" x14ac:dyDescent="0.4">
      <c r="A540" s="41"/>
      <c r="B540" s="14"/>
      <c r="C540" s="38"/>
      <c r="D540" s="38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98"/>
      <c r="T540" s="98"/>
    </row>
    <row r="541" spans="1:20" ht="37.5" hidden="1" outlineLevel="1" thickBot="1" x14ac:dyDescent="0.45">
      <c r="A541" s="13"/>
      <c r="B541" s="14"/>
      <c r="C541" s="14"/>
      <c r="D541" s="15"/>
      <c r="E541" s="49"/>
      <c r="F541" s="50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2">
        <f>SUM(S535:S540)</f>
        <v>0</v>
      </c>
      <c r="T541" s="52">
        <f>SUM(T535:T540)</f>
        <v>120000</v>
      </c>
    </row>
    <row r="542" spans="1:20" ht="36.75" hidden="1" outlineLevel="1" x14ac:dyDescent="0.4">
      <c r="A542" s="13"/>
      <c r="B542" s="14"/>
      <c r="C542" s="14"/>
      <c r="D542" s="15"/>
      <c r="E542" s="49"/>
      <c r="F542" s="132"/>
      <c r="G542" s="104"/>
      <c r="H542" s="104"/>
      <c r="I542" s="104"/>
      <c r="J542" s="104"/>
      <c r="K542" s="104"/>
      <c r="L542" s="104"/>
      <c r="M542" s="104"/>
      <c r="N542" s="104"/>
      <c r="O542" s="104"/>
      <c r="P542" s="104"/>
      <c r="Q542" s="104"/>
      <c r="R542" s="104"/>
      <c r="S542" s="105"/>
      <c r="T542" s="105"/>
    </row>
    <row r="543" spans="1:20" ht="60" hidden="1" customHeight="1" outlineLevel="1" x14ac:dyDescent="0.25">
      <c r="A543" s="55" t="s">
        <v>31</v>
      </c>
      <c r="B543" s="55" t="s">
        <v>7</v>
      </c>
      <c r="C543" s="30" t="s">
        <v>32</v>
      </c>
      <c r="D543" s="30" t="s">
        <v>33</v>
      </c>
      <c r="E543" s="30" t="s">
        <v>34</v>
      </c>
      <c r="F543" s="21" t="s">
        <v>11</v>
      </c>
      <c r="G543" s="40" t="s">
        <v>12</v>
      </c>
      <c r="H543" s="40" t="s">
        <v>13</v>
      </c>
      <c r="I543" s="40" t="s">
        <v>14</v>
      </c>
      <c r="J543" s="40" t="s">
        <v>15</v>
      </c>
      <c r="K543" s="40" t="s">
        <v>16</v>
      </c>
      <c r="L543" s="40" t="s">
        <v>17</v>
      </c>
      <c r="M543" s="40" t="s">
        <v>18</v>
      </c>
      <c r="N543" s="40" t="s">
        <v>19</v>
      </c>
      <c r="O543" s="40" t="s">
        <v>20</v>
      </c>
      <c r="P543" s="40" t="s">
        <v>21</v>
      </c>
      <c r="Q543" s="40" t="s">
        <v>22</v>
      </c>
      <c r="R543" s="40" t="s">
        <v>23</v>
      </c>
      <c r="S543" s="23" t="s">
        <v>24</v>
      </c>
      <c r="T543" s="23" t="s">
        <v>25</v>
      </c>
    </row>
    <row r="544" spans="1:20" ht="51.75" hidden="1" customHeight="1" outlineLevel="1" x14ac:dyDescent="0.25">
      <c r="A544" s="24">
        <v>24</v>
      </c>
      <c r="B544" s="17"/>
      <c r="C544" s="65"/>
      <c r="D544" s="19"/>
      <c r="E544" s="26">
        <v>2024</v>
      </c>
      <c r="F544" s="27">
        <v>5000</v>
      </c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64">
        <f>SUM(G544:R544)</f>
        <v>0</v>
      </c>
      <c r="T544" s="29">
        <f>SUM(F544*IF(E544=_current_year,_current_month,12)-(S544))</f>
        <v>60000</v>
      </c>
    </row>
    <row r="545" spans="1:20" ht="51.75" hidden="1" customHeight="1" outlineLevel="1" x14ac:dyDescent="0.25">
      <c r="A545" s="24"/>
      <c r="B545" s="17"/>
      <c r="C545" s="65"/>
      <c r="D545" s="19"/>
      <c r="E545" s="26">
        <v>2023</v>
      </c>
      <c r="F545" s="27">
        <v>5000</v>
      </c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64">
        <f>SUM(G545:R545)</f>
        <v>0</v>
      </c>
      <c r="T545" s="29">
        <f>SUM(F545*IF(E545=_current_year,_current_month,12)-(S545))</f>
        <v>60000</v>
      </c>
    </row>
    <row r="546" spans="1:20" ht="73.5" hidden="1" customHeight="1" outlineLevel="1" x14ac:dyDescent="0.4">
      <c r="A546" s="24"/>
      <c r="B546" s="33" t="s">
        <v>28</v>
      </c>
      <c r="C546" s="76" t="s">
        <v>147</v>
      </c>
      <c r="D546" s="35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98"/>
      <c r="T546" s="98"/>
    </row>
    <row r="547" spans="1:20" ht="61.5" hidden="1" customHeight="1" outlineLevel="1" x14ac:dyDescent="0.4">
      <c r="A547" s="214" t="s">
        <v>155</v>
      </c>
      <c r="B547" s="33" t="s">
        <v>28</v>
      </c>
      <c r="C547" s="38" t="s">
        <v>52</v>
      </c>
      <c r="D547" s="38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98"/>
      <c r="T547" s="98"/>
    </row>
    <row r="548" spans="1:20" ht="36.75" hidden="1" customHeight="1" outlineLevel="1" x14ac:dyDescent="0.4">
      <c r="A548" s="41" t="s">
        <v>30</v>
      </c>
      <c r="B548" s="14" t="s">
        <v>28</v>
      </c>
      <c r="C548" s="38"/>
      <c r="D548" s="38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98"/>
      <c r="T548" s="98"/>
    </row>
    <row r="549" spans="1:20" ht="36.75" hidden="1" customHeight="1" outlineLevel="1" x14ac:dyDescent="0.4">
      <c r="A549" s="41"/>
      <c r="B549" s="14"/>
      <c r="C549" s="38"/>
      <c r="D549" s="38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98"/>
      <c r="T549" s="98"/>
    </row>
    <row r="550" spans="1:20" ht="37.5" hidden="1" outlineLevel="1" thickBot="1" x14ac:dyDescent="0.45">
      <c r="A550" s="13"/>
      <c r="B550" s="14"/>
      <c r="C550" s="14"/>
      <c r="D550" s="15"/>
      <c r="E550" s="49"/>
      <c r="F550" s="50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2">
        <f>SUM(S544:S549)</f>
        <v>0</v>
      </c>
      <c r="T550" s="52">
        <f>SUM(T544:T549)</f>
        <v>120000</v>
      </c>
    </row>
    <row r="551" spans="1:20" ht="36.75" hidden="1" outlineLevel="1" x14ac:dyDescent="0.4">
      <c r="A551" s="13"/>
      <c r="B551" s="14"/>
      <c r="C551" s="14"/>
      <c r="D551" s="15"/>
      <c r="E551" s="49"/>
      <c r="F551" s="132"/>
      <c r="G551" s="104"/>
      <c r="H551" s="104"/>
      <c r="I551" s="104"/>
      <c r="J551" s="104"/>
      <c r="K551" s="104"/>
      <c r="L551" s="104"/>
      <c r="M551" s="104"/>
      <c r="N551" s="104"/>
      <c r="O551" s="104"/>
      <c r="P551" s="104"/>
      <c r="Q551" s="104"/>
      <c r="R551" s="104"/>
      <c r="S551" s="105"/>
      <c r="T551" s="105"/>
    </row>
    <row r="552" spans="1:20" ht="36.75" hidden="1" outlineLevel="1" x14ac:dyDescent="0.4">
      <c r="A552" s="13"/>
      <c r="B552" s="14"/>
      <c r="C552" s="14"/>
      <c r="D552" s="15"/>
      <c r="E552" s="49"/>
      <c r="F552" s="132"/>
      <c r="G552" s="104"/>
      <c r="H552" s="104"/>
      <c r="I552" s="104"/>
      <c r="J552" s="104"/>
      <c r="K552" s="104"/>
      <c r="L552" s="104"/>
      <c r="M552" s="104"/>
      <c r="N552" s="104"/>
      <c r="O552" s="104"/>
      <c r="P552" s="104"/>
      <c r="Q552" s="104"/>
      <c r="R552" s="104"/>
      <c r="S552" s="105"/>
      <c r="T552" s="105"/>
    </row>
    <row r="553" spans="1:20" ht="60" hidden="1" customHeight="1" outlineLevel="1" x14ac:dyDescent="0.25">
      <c r="A553" s="55" t="s">
        <v>31</v>
      </c>
      <c r="B553" s="55" t="s">
        <v>7</v>
      </c>
      <c r="C553" s="30" t="s">
        <v>32</v>
      </c>
      <c r="D553" s="30" t="s">
        <v>33</v>
      </c>
      <c r="E553" s="30" t="s">
        <v>34</v>
      </c>
      <c r="F553" s="21" t="s">
        <v>11</v>
      </c>
      <c r="G553" s="40" t="s">
        <v>12</v>
      </c>
      <c r="H553" s="40" t="s">
        <v>13</v>
      </c>
      <c r="I553" s="40" t="s">
        <v>14</v>
      </c>
      <c r="J553" s="40" t="s">
        <v>15</v>
      </c>
      <c r="K553" s="40" t="s">
        <v>16</v>
      </c>
      <c r="L553" s="40" t="s">
        <v>17</v>
      </c>
      <c r="M553" s="40" t="s">
        <v>18</v>
      </c>
      <c r="N553" s="40" t="s">
        <v>19</v>
      </c>
      <c r="O553" s="40" t="s">
        <v>20</v>
      </c>
      <c r="P553" s="40" t="s">
        <v>21</v>
      </c>
      <c r="Q553" s="40" t="s">
        <v>22</v>
      </c>
      <c r="R553" s="40" t="s">
        <v>23</v>
      </c>
      <c r="S553" s="23" t="s">
        <v>24</v>
      </c>
      <c r="T553" s="23" t="s">
        <v>25</v>
      </c>
    </row>
    <row r="554" spans="1:20" ht="51.75" hidden="1" customHeight="1" outlineLevel="1" x14ac:dyDescent="0.25">
      <c r="A554" s="24">
        <v>24</v>
      </c>
      <c r="B554" s="17"/>
      <c r="C554" s="65"/>
      <c r="D554" s="19"/>
      <c r="E554" s="26">
        <v>2024</v>
      </c>
      <c r="F554" s="27">
        <v>5000</v>
      </c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64">
        <f>SUM(G554:R554)</f>
        <v>0</v>
      </c>
      <c r="T554" s="29">
        <f>SUM(F554*IF(E554=_current_year,_current_month,12)-(S554))</f>
        <v>60000</v>
      </c>
    </row>
    <row r="555" spans="1:20" ht="51.75" hidden="1" customHeight="1" outlineLevel="1" x14ac:dyDescent="0.25">
      <c r="A555" s="24"/>
      <c r="B555" s="17"/>
      <c r="C555" s="65"/>
      <c r="D555" s="19"/>
      <c r="E555" s="26">
        <v>2023</v>
      </c>
      <c r="F555" s="27">
        <v>5000</v>
      </c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64">
        <f>SUM(G555:R555)</f>
        <v>0</v>
      </c>
      <c r="T555" s="29">
        <f>SUM(F555*IF(E555=_current_year,_current_month,12)-(S555))</f>
        <v>60000</v>
      </c>
    </row>
    <row r="556" spans="1:20" ht="73.5" hidden="1" customHeight="1" outlineLevel="1" x14ac:dyDescent="0.4">
      <c r="A556" s="24"/>
      <c r="B556" s="33" t="s">
        <v>28</v>
      </c>
      <c r="C556" s="76" t="s">
        <v>147</v>
      </c>
      <c r="D556" s="35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98"/>
      <c r="T556" s="98"/>
    </row>
    <row r="557" spans="1:20" ht="61.5" hidden="1" customHeight="1" outlineLevel="1" x14ac:dyDescent="0.4">
      <c r="A557" s="214" t="s">
        <v>156</v>
      </c>
      <c r="B557" s="33" t="s">
        <v>28</v>
      </c>
      <c r="C557" s="38" t="s">
        <v>52</v>
      </c>
      <c r="D557" s="38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98"/>
      <c r="T557" s="98"/>
    </row>
    <row r="558" spans="1:20" ht="36.75" hidden="1" customHeight="1" outlineLevel="1" x14ac:dyDescent="0.4">
      <c r="A558" s="41" t="s">
        <v>30</v>
      </c>
      <c r="B558" s="14" t="s">
        <v>28</v>
      </c>
      <c r="C558" s="38"/>
      <c r="D558" s="38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98"/>
      <c r="T558" s="98"/>
    </row>
    <row r="559" spans="1:20" ht="36.75" hidden="1" customHeight="1" outlineLevel="1" x14ac:dyDescent="0.4">
      <c r="A559" s="41"/>
      <c r="B559" s="14"/>
      <c r="C559" s="38"/>
      <c r="D559" s="38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98"/>
      <c r="T559" s="98"/>
    </row>
    <row r="560" spans="1:20" ht="37.5" hidden="1" outlineLevel="1" thickBot="1" x14ac:dyDescent="0.45">
      <c r="A560" s="13"/>
      <c r="B560" s="14"/>
      <c r="C560" s="14"/>
      <c r="D560" s="15"/>
      <c r="E560" s="49"/>
      <c r="F560" s="50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2">
        <f>SUM(S554:S559)</f>
        <v>0</v>
      </c>
      <c r="T560" s="52">
        <f>SUM(T554:T559)</f>
        <v>120000</v>
      </c>
    </row>
    <row r="561" spans="1:20" ht="36.75" hidden="1" outlineLevel="1" x14ac:dyDescent="0.4">
      <c r="A561" s="13"/>
      <c r="B561" s="14"/>
      <c r="C561" s="14"/>
      <c r="D561" s="15"/>
      <c r="E561" s="49"/>
      <c r="F561" s="132"/>
      <c r="G561" s="104"/>
      <c r="H561" s="104"/>
      <c r="I561" s="104"/>
      <c r="J561" s="104"/>
      <c r="K561" s="104"/>
      <c r="L561" s="104"/>
      <c r="M561" s="104"/>
      <c r="N561" s="104"/>
      <c r="O561" s="104"/>
      <c r="P561" s="104"/>
      <c r="Q561" s="104"/>
      <c r="R561" s="104"/>
      <c r="S561" s="105"/>
      <c r="T561" s="105"/>
    </row>
    <row r="562" spans="1:20" ht="60" hidden="1" customHeight="1" outlineLevel="1" x14ac:dyDescent="0.25">
      <c r="A562" s="55" t="s">
        <v>31</v>
      </c>
      <c r="B562" s="55" t="s">
        <v>7</v>
      </c>
      <c r="C562" s="30" t="s">
        <v>32</v>
      </c>
      <c r="D562" s="30" t="s">
        <v>33</v>
      </c>
      <c r="E562" s="30" t="s">
        <v>34</v>
      </c>
      <c r="F562" s="21" t="s">
        <v>11</v>
      </c>
      <c r="G562" s="40" t="s">
        <v>12</v>
      </c>
      <c r="H562" s="40" t="s">
        <v>13</v>
      </c>
      <c r="I562" s="40" t="s">
        <v>14</v>
      </c>
      <c r="J562" s="40" t="s">
        <v>15</v>
      </c>
      <c r="K562" s="40" t="s">
        <v>16</v>
      </c>
      <c r="L562" s="40" t="s">
        <v>17</v>
      </c>
      <c r="M562" s="40" t="s">
        <v>18</v>
      </c>
      <c r="N562" s="40" t="s">
        <v>19</v>
      </c>
      <c r="O562" s="40" t="s">
        <v>20</v>
      </c>
      <c r="P562" s="40" t="s">
        <v>21</v>
      </c>
      <c r="Q562" s="40" t="s">
        <v>22</v>
      </c>
      <c r="R562" s="40" t="s">
        <v>23</v>
      </c>
      <c r="S562" s="23" t="s">
        <v>24</v>
      </c>
      <c r="T562" s="23" t="s">
        <v>25</v>
      </c>
    </row>
    <row r="563" spans="1:20" ht="51.6" hidden="1" customHeight="1" outlineLevel="1" x14ac:dyDescent="0.25">
      <c r="A563" s="24">
        <v>24</v>
      </c>
      <c r="B563" s="17"/>
      <c r="C563" s="65"/>
      <c r="D563" s="19"/>
      <c r="E563" s="26">
        <v>2024</v>
      </c>
      <c r="F563" s="27">
        <v>5000</v>
      </c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64">
        <f>SUM(G563:R563)</f>
        <v>0</v>
      </c>
      <c r="T563" s="29">
        <f>SUM(F563*IF(E563=_current_year,_current_month,12)-(S563))</f>
        <v>60000</v>
      </c>
    </row>
    <row r="564" spans="1:20" ht="51.6" hidden="1" customHeight="1" outlineLevel="1" x14ac:dyDescent="0.25">
      <c r="A564" s="24"/>
      <c r="B564" s="17"/>
      <c r="C564" s="65"/>
      <c r="D564" s="19"/>
      <c r="E564" s="26">
        <v>2023</v>
      </c>
      <c r="F564" s="27">
        <v>5000</v>
      </c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64">
        <f>SUM(G564:R564)</f>
        <v>0</v>
      </c>
      <c r="T564" s="29">
        <f>SUM(F564*IF(E564=_current_year,_current_month,12)-(S564))</f>
        <v>60000</v>
      </c>
    </row>
    <row r="565" spans="1:20" ht="73.5" hidden="1" customHeight="1" outlineLevel="1" x14ac:dyDescent="0.4">
      <c r="A565" s="24"/>
      <c r="B565" s="33" t="s">
        <v>28</v>
      </c>
      <c r="C565" s="76" t="s">
        <v>147</v>
      </c>
      <c r="D565" s="35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98"/>
      <c r="T565" s="98"/>
    </row>
    <row r="566" spans="1:20" ht="61.5" hidden="1" customHeight="1" outlineLevel="1" x14ac:dyDescent="0.4">
      <c r="A566" s="214" t="s">
        <v>157</v>
      </c>
      <c r="B566" s="33" t="s">
        <v>28</v>
      </c>
      <c r="C566" s="38" t="s">
        <v>52</v>
      </c>
      <c r="D566" s="38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98"/>
      <c r="T566" s="98"/>
    </row>
    <row r="567" spans="1:20" ht="36.75" hidden="1" customHeight="1" outlineLevel="1" x14ac:dyDescent="0.4">
      <c r="A567" s="41" t="s">
        <v>30</v>
      </c>
      <c r="B567" s="14" t="s">
        <v>28</v>
      </c>
      <c r="C567" s="38"/>
      <c r="D567" s="38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98"/>
      <c r="T567" s="98"/>
    </row>
    <row r="568" spans="1:20" ht="36.75" hidden="1" customHeight="1" outlineLevel="1" x14ac:dyDescent="0.4">
      <c r="A568" s="41"/>
      <c r="B568" s="14"/>
      <c r="C568" s="38"/>
      <c r="D568" s="38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98"/>
      <c r="T568" s="98"/>
    </row>
    <row r="569" spans="1:20" ht="37.5" hidden="1" outlineLevel="1" thickBot="1" x14ac:dyDescent="0.45">
      <c r="A569" s="13"/>
      <c r="B569" s="14"/>
      <c r="C569" s="14"/>
      <c r="D569" s="15"/>
      <c r="E569" s="49"/>
      <c r="F569" s="50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2">
        <f>SUM(S563:S568)</f>
        <v>0</v>
      </c>
      <c r="T569" s="52">
        <f>SUM(T563:T568)</f>
        <v>120000</v>
      </c>
    </row>
    <row r="570" spans="1:20" ht="36.75" hidden="1" outlineLevel="1" x14ac:dyDescent="0.4">
      <c r="A570" s="13"/>
      <c r="B570" s="14"/>
      <c r="C570" s="14"/>
      <c r="D570" s="15"/>
      <c r="E570" s="49"/>
      <c r="F570" s="132"/>
      <c r="G570" s="104"/>
      <c r="H570" s="104"/>
      <c r="I570" s="104"/>
      <c r="J570" s="104"/>
      <c r="K570" s="104"/>
      <c r="L570" s="104"/>
      <c r="M570" s="104"/>
      <c r="N570" s="104"/>
      <c r="O570" s="104"/>
      <c r="P570" s="104"/>
      <c r="Q570" s="104"/>
      <c r="R570" s="104"/>
      <c r="S570" s="105"/>
      <c r="T570" s="105"/>
    </row>
    <row r="571" spans="1:20" ht="60" hidden="1" customHeight="1" outlineLevel="1" x14ac:dyDescent="0.25">
      <c r="A571" s="55" t="s">
        <v>31</v>
      </c>
      <c r="B571" s="55" t="s">
        <v>7</v>
      </c>
      <c r="C571" s="30" t="s">
        <v>32</v>
      </c>
      <c r="D571" s="30" t="s">
        <v>33</v>
      </c>
      <c r="E571" s="30" t="s">
        <v>34</v>
      </c>
      <c r="F571" s="21" t="s">
        <v>11</v>
      </c>
      <c r="G571" s="40" t="s">
        <v>12</v>
      </c>
      <c r="H571" s="40" t="s">
        <v>13</v>
      </c>
      <c r="I571" s="40" t="s">
        <v>14</v>
      </c>
      <c r="J571" s="40" t="s">
        <v>15</v>
      </c>
      <c r="K571" s="40" t="s">
        <v>16</v>
      </c>
      <c r="L571" s="40" t="s">
        <v>17</v>
      </c>
      <c r="M571" s="40" t="s">
        <v>18</v>
      </c>
      <c r="N571" s="40" t="s">
        <v>19</v>
      </c>
      <c r="O571" s="40" t="s">
        <v>20</v>
      </c>
      <c r="P571" s="40" t="s">
        <v>21</v>
      </c>
      <c r="Q571" s="40" t="s">
        <v>22</v>
      </c>
      <c r="R571" s="40" t="s">
        <v>23</v>
      </c>
      <c r="S571" s="23" t="s">
        <v>24</v>
      </c>
      <c r="T571" s="23" t="s">
        <v>25</v>
      </c>
    </row>
    <row r="572" spans="1:20" ht="51.75" hidden="1" customHeight="1" outlineLevel="1" x14ac:dyDescent="0.25">
      <c r="A572" s="24">
        <v>24</v>
      </c>
      <c r="B572" s="17"/>
      <c r="C572" s="65"/>
      <c r="D572" s="19"/>
      <c r="E572" s="26">
        <v>2024</v>
      </c>
      <c r="F572" s="27">
        <v>5000</v>
      </c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64">
        <f>SUM(G572:R572)</f>
        <v>0</v>
      </c>
      <c r="T572" s="29">
        <f>SUM(F572*IF(E572=_current_year,_current_month,12)-(S572))</f>
        <v>60000</v>
      </c>
    </row>
    <row r="573" spans="1:20" ht="51.75" hidden="1" customHeight="1" outlineLevel="1" x14ac:dyDescent="0.25">
      <c r="A573" s="24"/>
      <c r="B573" s="17"/>
      <c r="C573" s="65"/>
      <c r="D573" s="19"/>
      <c r="E573" s="26">
        <v>2023</v>
      </c>
      <c r="F573" s="27">
        <v>5000</v>
      </c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64">
        <f>SUM(G573:R573)</f>
        <v>0</v>
      </c>
      <c r="T573" s="29">
        <f>SUM(F573*IF(E573=_current_year,_current_month,12)-(S573))</f>
        <v>60000</v>
      </c>
    </row>
    <row r="574" spans="1:20" ht="73.5" hidden="1" customHeight="1" outlineLevel="1" x14ac:dyDescent="0.4">
      <c r="A574" s="24"/>
      <c r="B574" s="33" t="s">
        <v>28</v>
      </c>
      <c r="C574" s="76" t="s">
        <v>147</v>
      </c>
      <c r="D574" s="35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98"/>
      <c r="T574" s="98"/>
    </row>
    <row r="575" spans="1:20" ht="61.5" hidden="1" customHeight="1" outlineLevel="1" x14ac:dyDescent="0.4">
      <c r="A575" s="214" t="s">
        <v>158</v>
      </c>
      <c r="B575" s="33" t="s">
        <v>28</v>
      </c>
      <c r="C575" s="38" t="s">
        <v>52</v>
      </c>
      <c r="D575" s="38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98"/>
      <c r="T575" s="98"/>
    </row>
    <row r="576" spans="1:20" ht="36.75" hidden="1" customHeight="1" outlineLevel="1" x14ac:dyDescent="0.4">
      <c r="A576" s="41" t="s">
        <v>30</v>
      </c>
      <c r="B576" s="14" t="s">
        <v>28</v>
      </c>
      <c r="C576" s="38"/>
      <c r="D576" s="38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98"/>
      <c r="T576" s="98"/>
    </row>
    <row r="577" spans="1:20" ht="36.75" hidden="1" customHeight="1" outlineLevel="1" x14ac:dyDescent="0.4">
      <c r="A577" s="41"/>
      <c r="B577" s="14"/>
      <c r="C577" s="38"/>
      <c r="D577" s="38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98"/>
      <c r="T577" s="98"/>
    </row>
    <row r="578" spans="1:20" ht="37.5" hidden="1" outlineLevel="1" thickBot="1" x14ac:dyDescent="0.45">
      <c r="A578" s="13"/>
      <c r="B578" s="14"/>
      <c r="C578" s="14"/>
      <c r="D578" s="15"/>
      <c r="E578" s="49"/>
      <c r="F578" s="50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2">
        <f>SUM(S572:S577)</f>
        <v>0</v>
      </c>
      <c r="T578" s="52">
        <f>SUM(T572:T577)</f>
        <v>120000</v>
      </c>
    </row>
    <row r="579" spans="1:20" ht="36.75" hidden="1" outlineLevel="1" x14ac:dyDescent="0.4">
      <c r="A579" s="13"/>
      <c r="B579" s="14"/>
      <c r="C579" s="14"/>
      <c r="D579" s="15"/>
      <c r="E579" s="49"/>
      <c r="F579" s="132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04"/>
      <c r="S579" s="105"/>
      <c r="T579" s="105"/>
    </row>
    <row r="580" spans="1:20" ht="60" hidden="1" customHeight="1" outlineLevel="1" x14ac:dyDescent="0.25">
      <c r="A580" s="55" t="s">
        <v>31</v>
      </c>
      <c r="B580" s="55" t="s">
        <v>7</v>
      </c>
      <c r="C580" s="30" t="s">
        <v>32</v>
      </c>
      <c r="D580" s="30" t="s">
        <v>33</v>
      </c>
      <c r="E580" s="30" t="s">
        <v>34</v>
      </c>
      <c r="F580" s="21" t="s">
        <v>11</v>
      </c>
      <c r="G580" s="40" t="s">
        <v>12</v>
      </c>
      <c r="H580" s="40" t="s">
        <v>13</v>
      </c>
      <c r="I580" s="40" t="s">
        <v>14</v>
      </c>
      <c r="J580" s="40" t="s">
        <v>15</v>
      </c>
      <c r="K580" s="40" t="s">
        <v>16</v>
      </c>
      <c r="L580" s="40" t="s">
        <v>17</v>
      </c>
      <c r="M580" s="40" t="s">
        <v>18</v>
      </c>
      <c r="N580" s="40" t="s">
        <v>19</v>
      </c>
      <c r="O580" s="40" t="s">
        <v>20</v>
      </c>
      <c r="P580" s="40" t="s">
        <v>21</v>
      </c>
      <c r="Q580" s="40" t="s">
        <v>22</v>
      </c>
      <c r="R580" s="40" t="s">
        <v>23</v>
      </c>
      <c r="S580" s="23" t="s">
        <v>24</v>
      </c>
      <c r="T580" s="23" t="s">
        <v>25</v>
      </c>
    </row>
    <row r="581" spans="1:20" ht="51.75" hidden="1" customHeight="1" outlineLevel="1" x14ac:dyDescent="0.25">
      <c r="A581" s="24">
        <v>24</v>
      </c>
      <c r="B581" s="17"/>
      <c r="C581" s="65"/>
      <c r="D581" s="19"/>
      <c r="E581" s="26">
        <v>2024</v>
      </c>
      <c r="F581" s="27">
        <v>5000</v>
      </c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64">
        <f>SUM(G581:R581)</f>
        <v>0</v>
      </c>
      <c r="T581" s="29">
        <f>SUM(F581*IF(E581=_current_year,_current_month,12)-(S581))</f>
        <v>60000</v>
      </c>
    </row>
    <row r="582" spans="1:20" ht="51.75" hidden="1" customHeight="1" outlineLevel="1" x14ac:dyDescent="0.25">
      <c r="A582" s="24"/>
      <c r="B582" s="17"/>
      <c r="C582" s="65"/>
      <c r="D582" s="19"/>
      <c r="E582" s="26">
        <v>2023</v>
      </c>
      <c r="F582" s="27">
        <v>5000</v>
      </c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64">
        <f>SUM(G582:R582)</f>
        <v>0</v>
      </c>
      <c r="T582" s="29">
        <f>SUM(F582*IF(E582=_current_year,_current_month,12)-(S582))</f>
        <v>60000</v>
      </c>
    </row>
    <row r="583" spans="1:20" ht="73.5" hidden="1" customHeight="1" outlineLevel="1" x14ac:dyDescent="0.4">
      <c r="A583" s="24"/>
      <c r="B583" s="33" t="s">
        <v>28</v>
      </c>
      <c r="C583" s="76" t="s">
        <v>147</v>
      </c>
      <c r="D583" s="35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98"/>
      <c r="T583" s="98"/>
    </row>
    <row r="584" spans="1:20" ht="61.5" hidden="1" customHeight="1" outlineLevel="1" x14ac:dyDescent="0.4">
      <c r="A584" s="214" t="s">
        <v>159</v>
      </c>
      <c r="B584" s="33" t="s">
        <v>28</v>
      </c>
      <c r="C584" s="38" t="s">
        <v>52</v>
      </c>
      <c r="D584" s="38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98"/>
      <c r="T584" s="98"/>
    </row>
    <row r="585" spans="1:20" ht="36.75" hidden="1" customHeight="1" outlineLevel="1" x14ac:dyDescent="0.4">
      <c r="A585" s="41" t="s">
        <v>30</v>
      </c>
      <c r="B585" s="14" t="s">
        <v>28</v>
      </c>
      <c r="C585" s="38"/>
      <c r="D585" s="38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98"/>
      <c r="T585" s="98"/>
    </row>
    <row r="586" spans="1:20" ht="36.75" hidden="1" customHeight="1" outlineLevel="1" x14ac:dyDescent="0.4">
      <c r="A586" s="41"/>
      <c r="B586" s="14"/>
      <c r="C586" s="38"/>
      <c r="D586" s="38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98"/>
      <c r="T586" s="98"/>
    </row>
    <row r="587" spans="1:20" ht="37.5" hidden="1" outlineLevel="1" thickBot="1" x14ac:dyDescent="0.45">
      <c r="A587" s="13"/>
      <c r="B587" s="14"/>
      <c r="C587" s="14"/>
      <c r="D587" s="15"/>
      <c r="E587" s="49"/>
      <c r="F587" s="50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2">
        <f>SUM(S581:S586)</f>
        <v>0</v>
      </c>
      <c r="T587" s="52">
        <f>SUM(T581:T586)</f>
        <v>120000</v>
      </c>
    </row>
    <row r="588" spans="1:20" ht="36.75" hidden="1" outlineLevel="1" x14ac:dyDescent="0.4">
      <c r="A588" s="13"/>
      <c r="B588" s="14"/>
      <c r="C588" s="14"/>
      <c r="D588" s="15"/>
      <c r="E588" s="49"/>
      <c r="F588" s="132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5"/>
      <c r="T588" s="105"/>
    </row>
    <row r="589" spans="1:20" ht="60" hidden="1" customHeight="1" outlineLevel="1" x14ac:dyDescent="0.25">
      <c r="A589" s="55" t="s">
        <v>31</v>
      </c>
      <c r="B589" s="55" t="s">
        <v>7</v>
      </c>
      <c r="C589" s="30" t="s">
        <v>32</v>
      </c>
      <c r="D589" s="30" t="s">
        <v>33</v>
      </c>
      <c r="E589" s="30" t="s">
        <v>34</v>
      </c>
      <c r="F589" s="21" t="s">
        <v>11</v>
      </c>
      <c r="G589" s="40" t="s">
        <v>12</v>
      </c>
      <c r="H589" s="40" t="s">
        <v>13</v>
      </c>
      <c r="I589" s="40" t="s">
        <v>14</v>
      </c>
      <c r="J589" s="40" t="s">
        <v>15</v>
      </c>
      <c r="K589" s="40" t="s">
        <v>16</v>
      </c>
      <c r="L589" s="40" t="s">
        <v>17</v>
      </c>
      <c r="M589" s="40" t="s">
        <v>18</v>
      </c>
      <c r="N589" s="40" t="s">
        <v>19</v>
      </c>
      <c r="O589" s="40" t="s">
        <v>20</v>
      </c>
      <c r="P589" s="40" t="s">
        <v>21</v>
      </c>
      <c r="Q589" s="40" t="s">
        <v>22</v>
      </c>
      <c r="R589" s="40" t="s">
        <v>23</v>
      </c>
      <c r="S589" s="23" t="s">
        <v>24</v>
      </c>
      <c r="T589" s="23" t="s">
        <v>25</v>
      </c>
    </row>
    <row r="590" spans="1:20" ht="51.75" hidden="1" customHeight="1" outlineLevel="1" x14ac:dyDescent="0.25">
      <c r="A590" s="24">
        <v>24</v>
      </c>
      <c r="B590" s="17"/>
      <c r="C590" s="65"/>
      <c r="D590" s="19"/>
      <c r="E590" s="26">
        <v>2024</v>
      </c>
      <c r="F590" s="27">
        <v>5000</v>
      </c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64">
        <f>SUM(G590:R590)</f>
        <v>0</v>
      </c>
      <c r="T590" s="29">
        <f>SUM(F590*IF(E590=_current_year,_current_month,12)-(S590))</f>
        <v>60000</v>
      </c>
    </row>
    <row r="591" spans="1:20" ht="51.75" hidden="1" customHeight="1" outlineLevel="1" x14ac:dyDescent="0.25">
      <c r="A591" s="24"/>
      <c r="B591" s="17"/>
      <c r="C591" s="65"/>
      <c r="D591" s="19"/>
      <c r="E591" s="26">
        <v>2023</v>
      </c>
      <c r="F591" s="27">
        <v>5000</v>
      </c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64">
        <f>SUM(G591:R591)</f>
        <v>0</v>
      </c>
      <c r="T591" s="29">
        <f>SUM(F591*IF(E591=_current_year,_current_month,12)-(S591))</f>
        <v>60000</v>
      </c>
    </row>
    <row r="592" spans="1:20" ht="73.5" hidden="1" customHeight="1" outlineLevel="1" x14ac:dyDescent="0.4">
      <c r="A592" s="24"/>
      <c r="B592" s="33" t="s">
        <v>28</v>
      </c>
      <c r="C592" s="76" t="s">
        <v>147</v>
      </c>
      <c r="D592" s="35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98"/>
      <c r="T592" s="98"/>
    </row>
    <row r="593" spans="1:20" ht="61.5" hidden="1" customHeight="1" outlineLevel="1" x14ac:dyDescent="0.4">
      <c r="A593" s="214" t="s">
        <v>160</v>
      </c>
      <c r="B593" s="33" t="s">
        <v>28</v>
      </c>
      <c r="C593" s="38" t="s">
        <v>52</v>
      </c>
      <c r="D593" s="38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98"/>
      <c r="T593" s="98"/>
    </row>
    <row r="594" spans="1:20" ht="36.75" hidden="1" customHeight="1" outlineLevel="1" x14ac:dyDescent="0.4">
      <c r="A594" s="41" t="s">
        <v>30</v>
      </c>
      <c r="B594" s="14" t="s">
        <v>28</v>
      </c>
      <c r="C594" s="38"/>
      <c r="D594" s="38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98"/>
      <c r="T594" s="98"/>
    </row>
    <row r="595" spans="1:20" ht="36.75" hidden="1" customHeight="1" outlineLevel="1" x14ac:dyDescent="0.4">
      <c r="A595" s="41"/>
      <c r="B595" s="14"/>
      <c r="C595" s="38"/>
      <c r="D595" s="38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98"/>
      <c r="T595" s="98"/>
    </row>
    <row r="596" spans="1:20" ht="37.5" hidden="1" outlineLevel="1" thickBot="1" x14ac:dyDescent="0.45">
      <c r="A596" s="13"/>
      <c r="B596" s="14"/>
      <c r="C596" s="14"/>
      <c r="D596" s="15"/>
      <c r="E596" s="49"/>
      <c r="F596" s="50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2">
        <f>SUM(S590:S595)</f>
        <v>0</v>
      </c>
      <c r="T596" s="52">
        <f>SUM(T590:T595)</f>
        <v>120000</v>
      </c>
    </row>
    <row r="597" spans="1:20" ht="36.75" hidden="1" outlineLevel="1" x14ac:dyDescent="0.4">
      <c r="A597" s="13"/>
      <c r="B597" s="14"/>
      <c r="C597" s="14"/>
      <c r="D597" s="15"/>
      <c r="E597" s="49"/>
      <c r="F597" s="132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5"/>
      <c r="T597" s="105"/>
    </row>
    <row r="598" spans="1:20" ht="60" hidden="1" customHeight="1" outlineLevel="1" x14ac:dyDescent="0.25">
      <c r="A598" s="55" t="s">
        <v>31</v>
      </c>
      <c r="B598" s="55" t="s">
        <v>7</v>
      </c>
      <c r="C598" s="30" t="s">
        <v>32</v>
      </c>
      <c r="D598" s="30" t="s">
        <v>33</v>
      </c>
      <c r="E598" s="30" t="s">
        <v>34</v>
      </c>
      <c r="F598" s="21" t="s">
        <v>11</v>
      </c>
      <c r="G598" s="40" t="s">
        <v>12</v>
      </c>
      <c r="H598" s="40" t="s">
        <v>13</v>
      </c>
      <c r="I598" s="40" t="s">
        <v>14</v>
      </c>
      <c r="J598" s="40" t="s">
        <v>15</v>
      </c>
      <c r="K598" s="40" t="s">
        <v>16</v>
      </c>
      <c r="L598" s="40" t="s">
        <v>17</v>
      </c>
      <c r="M598" s="40" t="s">
        <v>18</v>
      </c>
      <c r="N598" s="40" t="s">
        <v>19</v>
      </c>
      <c r="O598" s="40" t="s">
        <v>20</v>
      </c>
      <c r="P598" s="40" t="s">
        <v>21</v>
      </c>
      <c r="Q598" s="40" t="s">
        <v>22</v>
      </c>
      <c r="R598" s="40" t="s">
        <v>23</v>
      </c>
      <c r="S598" s="23" t="s">
        <v>24</v>
      </c>
      <c r="T598" s="23" t="s">
        <v>25</v>
      </c>
    </row>
    <row r="599" spans="1:20" ht="51.75" hidden="1" customHeight="1" outlineLevel="1" x14ac:dyDescent="0.25">
      <c r="A599" s="24">
        <v>24</v>
      </c>
      <c r="B599" s="17"/>
      <c r="C599" s="65"/>
      <c r="D599" s="19"/>
      <c r="E599" s="26">
        <v>2024</v>
      </c>
      <c r="F599" s="27">
        <v>5000</v>
      </c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64">
        <f>SUM(G599:R599)</f>
        <v>0</v>
      </c>
      <c r="T599" s="29">
        <f>SUM(F599*IF(E599=_current_year,_current_month,12)-(S599))</f>
        <v>60000</v>
      </c>
    </row>
    <row r="600" spans="1:20" ht="51.75" hidden="1" customHeight="1" outlineLevel="1" x14ac:dyDescent="0.25">
      <c r="A600" s="24"/>
      <c r="B600" s="17"/>
      <c r="C600" s="65"/>
      <c r="D600" s="19"/>
      <c r="E600" s="26">
        <v>2023</v>
      </c>
      <c r="F600" s="27">
        <v>5000</v>
      </c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64">
        <f>SUM(G600:R600)</f>
        <v>0</v>
      </c>
      <c r="T600" s="29">
        <f>SUM(F600*IF(E600=_current_year,_current_month,12)-(S600))</f>
        <v>60000</v>
      </c>
    </row>
    <row r="601" spans="1:20" ht="73.5" hidden="1" customHeight="1" outlineLevel="1" x14ac:dyDescent="0.4">
      <c r="A601" s="24"/>
      <c r="B601" s="33" t="s">
        <v>28</v>
      </c>
      <c r="C601" s="76" t="s">
        <v>147</v>
      </c>
      <c r="D601" s="35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98"/>
      <c r="T601" s="98"/>
    </row>
    <row r="602" spans="1:20" ht="61.5" hidden="1" customHeight="1" outlineLevel="1" x14ac:dyDescent="0.4">
      <c r="A602" s="214" t="s">
        <v>161</v>
      </c>
      <c r="B602" s="33" t="s">
        <v>28</v>
      </c>
      <c r="C602" s="38" t="s">
        <v>52</v>
      </c>
      <c r="D602" s="38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98"/>
      <c r="T602" s="98"/>
    </row>
    <row r="603" spans="1:20" ht="36.75" hidden="1" customHeight="1" outlineLevel="1" x14ac:dyDescent="0.4">
      <c r="A603" s="41" t="s">
        <v>30</v>
      </c>
      <c r="B603" s="14" t="s">
        <v>28</v>
      </c>
      <c r="C603" s="38"/>
      <c r="D603" s="38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98"/>
      <c r="T603" s="98"/>
    </row>
    <row r="604" spans="1:20" ht="36.75" hidden="1" customHeight="1" outlineLevel="1" x14ac:dyDescent="0.4">
      <c r="A604" s="41"/>
      <c r="B604" s="14"/>
      <c r="C604" s="38"/>
      <c r="D604" s="38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98"/>
      <c r="T604" s="98"/>
    </row>
    <row r="605" spans="1:20" ht="37.5" hidden="1" outlineLevel="1" thickBot="1" x14ac:dyDescent="0.45">
      <c r="A605" s="13"/>
      <c r="B605" s="14"/>
      <c r="C605" s="14"/>
      <c r="D605" s="15"/>
      <c r="E605" s="49"/>
      <c r="F605" s="50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2">
        <f>SUM(S599:S604)</f>
        <v>0</v>
      </c>
      <c r="T605" s="52">
        <f>SUM(T599:T604)</f>
        <v>120000</v>
      </c>
    </row>
    <row r="606" spans="1:20" ht="36.75" hidden="1" outlineLevel="1" x14ac:dyDescent="0.4">
      <c r="A606" s="13"/>
      <c r="B606" s="14"/>
      <c r="C606" s="14"/>
      <c r="D606" s="15"/>
      <c r="E606" s="49"/>
      <c r="F606" s="132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5"/>
      <c r="T606" s="105"/>
    </row>
    <row r="607" spans="1:20" ht="60" hidden="1" customHeight="1" outlineLevel="1" x14ac:dyDescent="0.25">
      <c r="A607" s="55" t="s">
        <v>31</v>
      </c>
      <c r="B607" s="55" t="s">
        <v>7</v>
      </c>
      <c r="C607" s="30" t="s">
        <v>32</v>
      </c>
      <c r="D607" s="30" t="s">
        <v>33</v>
      </c>
      <c r="E607" s="30" t="s">
        <v>34</v>
      </c>
      <c r="F607" s="21" t="s">
        <v>11</v>
      </c>
      <c r="G607" s="40" t="s">
        <v>12</v>
      </c>
      <c r="H607" s="40" t="s">
        <v>13</v>
      </c>
      <c r="I607" s="40" t="s">
        <v>14</v>
      </c>
      <c r="J607" s="40" t="s">
        <v>15</v>
      </c>
      <c r="K607" s="40" t="s">
        <v>16</v>
      </c>
      <c r="L607" s="40" t="s">
        <v>17</v>
      </c>
      <c r="M607" s="40" t="s">
        <v>18</v>
      </c>
      <c r="N607" s="40" t="s">
        <v>19</v>
      </c>
      <c r="O607" s="40" t="s">
        <v>20</v>
      </c>
      <c r="P607" s="40" t="s">
        <v>21</v>
      </c>
      <c r="Q607" s="40" t="s">
        <v>22</v>
      </c>
      <c r="R607" s="40" t="s">
        <v>23</v>
      </c>
      <c r="S607" s="23" t="s">
        <v>24</v>
      </c>
      <c r="T607" s="23" t="s">
        <v>25</v>
      </c>
    </row>
    <row r="608" spans="1:20" ht="51.75" hidden="1" customHeight="1" outlineLevel="1" x14ac:dyDescent="0.25">
      <c r="A608" s="24">
        <v>24</v>
      </c>
      <c r="B608" s="17"/>
      <c r="C608" s="65"/>
      <c r="D608" s="19"/>
      <c r="E608" s="26">
        <v>2024</v>
      </c>
      <c r="F608" s="27">
        <v>5000</v>
      </c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64">
        <f>SUM(G608:R608)</f>
        <v>0</v>
      </c>
      <c r="T608" s="29">
        <f>SUM(F608*IF(E608=_current_year,_current_month,12)-(S608))</f>
        <v>60000</v>
      </c>
    </row>
    <row r="609" spans="1:20" ht="51.75" hidden="1" customHeight="1" outlineLevel="1" x14ac:dyDescent="0.25">
      <c r="A609" s="24"/>
      <c r="B609" s="17"/>
      <c r="C609" s="65"/>
      <c r="D609" s="19"/>
      <c r="E609" s="26">
        <v>2023</v>
      </c>
      <c r="F609" s="27">
        <v>5000</v>
      </c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64">
        <f>SUM(G609:R609)</f>
        <v>0</v>
      </c>
      <c r="T609" s="29">
        <f>SUM(F609*IF(E609=_current_year,_current_month,12)-(S609))</f>
        <v>60000</v>
      </c>
    </row>
    <row r="610" spans="1:20" ht="73.5" hidden="1" customHeight="1" outlineLevel="1" x14ac:dyDescent="0.4">
      <c r="A610" s="24"/>
      <c r="B610" s="33" t="s">
        <v>28</v>
      </c>
      <c r="C610" s="76" t="s">
        <v>147</v>
      </c>
      <c r="D610" s="35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98"/>
      <c r="T610" s="98"/>
    </row>
    <row r="611" spans="1:20" ht="61.5" hidden="1" customHeight="1" outlineLevel="1" x14ac:dyDescent="0.4">
      <c r="A611" s="214" t="s">
        <v>162</v>
      </c>
      <c r="B611" s="33" t="s">
        <v>28</v>
      </c>
      <c r="C611" s="38" t="s">
        <v>52</v>
      </c>
      <c r="D611" s="38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98"/>
      <c r="T611" s="98"/>
    </row>
    <row r="612" spans="1:20" ht="36.75" hidden="1" customHeight="1" outlineLevel="1" x14ac:dyDescent="0.4">
      <c r="A612" s="41" t="s">
        <v>30</v>
      </c>
      <c r="B612" s="14" t="s">
        <v>28</v>
      </c>
      <c r="C612" s="38"/>
      <c r="D612" s="38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98"/>
      <c r="T612" s="98"/>
    </row>
    <row r="613" spans="1:20" ht="36.75" hidden="1" customHeight="1" outlineLevel="1" x14ac:dyDescent="0.4">
      <c r="A613" s="41"/>
      <c r="B613" s="14"/>
      <c r="C613" s="38"/>
      <c r="D613" s="38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98"/>
      <c r="T613" s="98"/>
    </row>
    <row r="614" spans="1:20" ht="37.5" hidden="1" outlineLevel="1" thickBot="1" x14ac:dyDescent="0.45">
      <c r="A614" s="13"/>
      <c r="B614" s="14"/>
      <c r="C614" s="14"/>
      <c r="D614" s="15"/>
      <c r="E614" s="49"/>
      <c r="F614" s="50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2">
        <f>SUM(S608:S613)</f>
        <v>0</v>
      </c>
      <c r="T614" s="52">
        <f>SUM(T608:T613)</f>
        <v>120000</v>
      </c>
    </row>
    <row r="615" spans="1:20" ht="36.75" hidden="1" outlineLevel="1" x14ac:dyDescent="0.4">
      <c r="A615" s="13"/>
      <c r="B615" s="14"/>
      <c r="C615" s="14"/>
      <c r="D615" s="15"/>
      <c r="E615" s="49"/>
      <c r="F615" s="132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5"/>
      <c r="T615" s="105"/>
    </row>
    <row r="616" spans="1:20" ht="60" hidden="1" customHeight="1" outlineLevel="1" x14ac:dyDescent="0.25">
      <c r="A616" s="55" t="s">
        <v>31</v>
      </c>
      <c r="B616" s="55" t="s">
        <v>7</v>
      </c>
      <c r="C616" s="30" t="s">
        <v>32</v>
      </c>
      <c r="D616" s="30" t="s">
        <v>33</v>
      </c>
      <c r="E616" s="30" t="s">
        <v>34</v>
      </c>
      <c r="F616" s="21" t="s">
        <v>11</v>
      </c>
      <c r="G616" s="40" t="s">
        <v>12</v>
      </c>
      <c r="H616" s="40" t="s">
        <v>13</v>
      </c>
      <c r="I616" s="40" t="s">
        <v>14</v>
      </c>
      <c r="J616" s="40" t="s">
        <v>15</v>
      </c>
      <c r="K616" s="40" t="s">
        <v>16</v>
      </c>
      <c r="L616" s="40" t="s">
        <v>17</v>
      </c>
      <c r="M616" s="40" t="s">
        <v>18</v>
      </c>
      <c r="N616" s="40" t="s">
        <v>19</v>
      </c>
      <c r="O616" s="40" t="s">
        <v>20</v>
      </c>
      <c r="P616" s="40" t="s">
        <v>21</v>
      </c>
      <c r="Q616" s="40" t="s">
        <v>22</v>
      </c>
      <c r="R616" s="40" t="s">
        <v>23</v>
      </c>
      <c r="S616" s="23" t="s">
        <v>24</v>
      </c>
      <c r="T616" s="23" t="s">
        <v>25</v>
      </c>
    </row>
    <row r="617" spans="1:20" ht="51.75" hidden="1" customHeight="1" outlineLevel="1" x14ac:dyDescent="0.25">
      <c r="A617" s="24">
        <v>24</v>
      </c>
      <c r="B617" s="17"/>
      <c r="C617" s="65"/>
      <c r="D617" s="19"/>
      <c r="E617" s="26">
        <v>2024</v>
      </c>
      <c r="F617" s="27">
        <v>5000</v>
      </c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64">
        <f>SUM(G617:R617)</f>
        <v>0</v>
      </c>
      <c r="T617" s="29">
        <f>SUM(F617*IF(E617=_current_year,_current_month,12)-(S617))</f>
        <v>60000</v>
      </c>
    </row>
    <row r="618" spans="1:20" ht="51.75" hidden="1" customHeight="1" outlineLevel="1" x14ac:dyDescent="0.25">
      <c r="A618" s="24"/>
      <c r="B618" s="17"/>
      <c r="C618" s="65"/>
      <c r="D618" s="19"/>
      <c r="E618" s="26">
        <v>2023</v>
      </c>
      <c r="F618" s="27">
        <v>5000</v>
      </c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64">
        <f>SUM(G618:R618)</f>
        <v>0</v>
      </c>
      <c r="T618" s="29">
        <f>SUM(F618*IF(E618=_current_year,_current_month,12)-(S618))</f>
        <v>60000</v>
      </c>
    </row>
    <row r="619" spans="1:20" ht="73.5" hidden="1" customHeight="1" outlineLevel="1" x14ac:dyDescent="0.4">
      <c r="A619" s="24"/>
      <c r="B619" s="33" t="s">
        <v>28</v>
      </c>
      <c r="C619" s="76" t="s">
        <v>147</v>
      </c>
      <c r="D619" s="35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98"/>
      <c r="T619" s="98"/>
    </row>
    <row r="620" spans="1:20" ht="61.5" hidden="1" customHeight="1" outlineLevel="1" x14ac:dyDescent="0.4">
      <c r="A620" s="214" t="s">
        <v>163</v>
      </c>
      <c r="B620" s="33" t="s">
        <v>28</v>
      </c>
      <c r="C620" s="38" t="s">
        <v>52</v>
      </c>
      <c r="D620" s="38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98"/>
      <c r="T620" s="98"/>
    </row>
    <row r="621" spans="1:20" ht="36.75" hidden="1" customHeight="1" outlineLevel="1" x14ac:dyDescent="0.4">
      <c r="A621" s="41" t="s">
        <v>30</v>
      </c>
      <c r="B621" s="14" t="s">
        <v>28</v>
      </c>
      <c r="C621" s="38"/>
      <c r="D621" s="38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98"/>
      <c r="T621" s="98"/>
    </row>
    <row r="622" spans="1:20" ht="36.75" hidden="1" customHeight="1" outlineLevel="1" x14ac:dyDescent="0.4">
      <c r="A622" s="41"/>
      <c r="B622" s="14"/>
      <c r="C622" s="38"/>
      <c r="D622" s="38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98"/>
      <c r="T622" s="98"/>
    </row>
    <row r="623" spans="1:20" ht="37.5" hidden="1" outlineLevel="1" thickBot="1" x14ac:dyDescent="0.45">
      <c r="A623" s="13"/>
      <c r="B623" s="14"/>
      <c r="C623" s="14"/>
      <c r="D623" s="15"/>
      <c r="E623" s="49"/>
      <c r="F623" s="50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2">
        <f>SUM(S617:S622)</f>
        <v>0</v>
      </c>
      <c r="T623" s="52">
        <f>SUM(T617:T622)</f>
        <v>120000</v>
      </c>
    </row>
    <row r="624" spans="1:20" ht="36.75" hidden="1" outlineLevel="1" x14ac:dyDescent="0.4">
      <c r="A624" s="13"/>
      <c r="B624" s="14"/>
      <c r="C624" s="14"/>
      <c r="D624" s="15"/>
      <c r="E624" s="49"/>
      <c r="F624" s="132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5"/>
      <c r="T624" s="105"/>
    </row>
    <row r="625" spans="1:39" ht="61.5" customHeight="1" collapsed="1" x14ac:dyDescent="0.4">
      <c r="A625" s="206"/>
      <c r="B625" s="207"/>
      <c r="C625" s="207"/>
      <c r="D625" s="208"/>
      <c r="E625" s="215"/>
      <c r="F625" s="216"/>
      <c r="G625" s="217"/>
      <c r="H625" s="217"/>
      <c r="I625" s="217"/>
      <c r="J625" s="217"/>
      <c r="K625" s="217"/>
      <c r="L625" s="217"/>
      <c r="M625" s="217"/>
      <c r="N625" s="217"/>
      <c r="O625" s="217"/>
      <c r="P625" s="217"/>
      <c r="Q625" s="217"/>
      <c r="R625" s="217"/>
      <c r="S625" s="218"/>
      <c r="T625" s="218"/>
    </row>
    <row r="626" spans="1:39" ht="36.75" x14ac:dyDescent="0.45">
      <c r="A626" s="219"/>
      <c r="B626" s="220"/>
      <c r="C626" s="220"/>
      <c r="D626" s="221"/>
      <c r="E626" s="220"/>
      <c r="F626" s="222"/>
      <c r="G626" s="220"/>
      <c r="H626" s="220"/>
      <c r="I626" s="220"/>
      <c r="J626" s="220"/>
      <c r="K626" s="220"/>
      <c r="L626" s="220"/>
      <c r="M626" s="220"/>
      <c r="N626" s="220"/>
      <c r="O626" s="220"/>
      <c r="P626" s="220"/>
      <c r="Q626" s="220"/>
      <c r="R626" s="220"/>
      <c r="S626" s="223"/>
      <c r="T626" s="223"/>
    </row>
    <row r="627" spans="1:39" ht="77.25" customHeight="1" x14ac:dyDescent="0.45">
      <c r="A627" s="219"/>
      <c r="B627" s="220"/>
      <c r="C627" s="220"/>
      <c r="D627" s="221"/>
      <c r="E627" s="220"/>
      <c r="F627" s="222"/>
      <c r="G627" s="220"/>
      <c r="H627" s="220"/>
      <c r="I627" s="220"/>
      <c r="J627" s="220"/>
      <c r="K627" s="224" t="s">
        <v>164</v>
      </c>
      <c r="L627" s="224"/>
      <c r="M627" s="224"/>
      <c r="N627" s="224"/>
      <c r="O627" s="224"/>
      <c r="P627" s="224"/>
      <c r="Q627" s="224"/>
      <c r="R627" s="220"/>
      <c r="S627" s="223"/>
      <c r="T627" s="223"/>
    </row>
    <row r="628" spans="1:39" s="57" customFormat="1" ht="44.25" customHeight="1" x14ac:dyDescent="0.6">
      <c r="A628" s="225"/>
      <c r="B628" s="6"/>
      <c r="C628" s="226"/>
      <c r="D628" s="227"/>
      <c r="E628" s="6"/>
      <c r="F628" s="104"/>
      <c r="G628" s="6"/>
      <c r="H628" s="228"/>
      <c r="K628" s="224"/>
      <c r="L628" s="224"/>
      <c r="M628" s="224"/>
      <c r="N628" s="224"/>
      <c r="O628" s="224"/>
      <c r="P628" s="224"/>
      <c r="Q628" s="224"/>
      <c r="R628" s="116"/>
      <c r="S628" s="229"/>
      <c r="T628" s="229"/>
      <c r="AM628" s="230"/>
    </row>
    <row r="629" spans="1:39" s="232" customFormat="1" ht="37.5" customHeight="1" x14ac:dyDescent="0.35">
      <c r="A629" s="11" t="s">
        <v>4</v>
      </c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231" t="s">
        <v>5</v>
      </c>
      <c r="T629" s="231"/>
      <c r="AM629" s="233"/>
    </row>
    <row r="630" spans="1:39" s="238" customFormat="1" ht="27.75" customHeight="1" x14ac:dyDescent="0.4">
      <c r="A630" s="234"/>
      <c r="B630" s="234"/>
      <c r="C630" s="235"/>
      <c r="D630" s="236"/>
      <c r="E630" s="234"/>
      <c r="F630" s="234"/>
      <c r="G630" s="234"/>
      <c r="H630" s="234"/>
      <c r="I630" s="234"/>
      <c r="J630" s="234"/>
      <c r="K630" s="234"/>
      <c r="L630" s="234"/>
      <c r="M630" s="234"/>
      <c r="N630" s="234"/>
      <c r="O630" s="234"/>
      <c r="P630" s="234"/>
      <c r="Q630" s="234"/>
      <c r="R630" s="234"/>
      <c r="S630" s="237"/>
      <c r="T630" s="237"/>
      <c r="AM630" s="239"/>
    </row>
    <row r="631" spans="1:39" s="245" customFormat="1" ht="65.25" customHeight="1" x14ac:dyDescent="0.5">
      <c r="A631" s="240" t="s">
        <v>31</v>
      </c>
      <c r="B631" s="241" t="s">
        <v>7</v>
      </c>
      <c r="C631" s="242" t="s">
        <v>32</v>
      </c>
      <c r="D631" s="243" t="s">
        <v>33</v>
      </c>
      <c r="E631" s="242" t="s">
        <v>34</v>
      </c>
      <c r="F631" s="244" t="s">
        <v>11</v>
      </c>
      <c r="G631" s="244" t="s">
        <v>12</v>
      </c>
      <c r="H631" s="244" t="s">
        <v>13</v>
      </c>
      <c r="I631" s="244" t="s">
        <v>14</v>
      </c>
      <c r="J631" s="244" t="s">
        <v>15</v>
      </c>
      <c r="K631" s="244" t="s">
        <v>16</v>
      </c>
      <c r="L631" s="244" t="s">
        <v>17</v>
      </c>
      <c r="M631" s="244" t="s">
        <v>18</v>
      </c>
      <c r="N631" s="244" t="s">
        <v>19</v>
      </c>
      <c r="O631" s="244" t="s">
        <v>20</v>
      </c>
      <c r="P631" s="244" t="s">
        <v>21</v>
      </c>
      <c r="Q631" s="244" t="s">
        <v>22</v>
      </c>
      <c r="R631" s="244" t="s">
        <v>23</v>
      </c>
      <c r="S631" s="20" t="s">
        <v>24</v>
      </c>
      <c r="T631" s="20" t="s">
        <v>25</v>
      </c>
      <c r="AM631" s="246"/>
    </row>
    <row r="632" spans="1:39" ht="51.75" customHeight="1" x14ac:dyDescent="0.25">
      <c r="A632" s="240"/>
      <c r="B632" s="17"/>
      <c r="C632" s="247" t="s">
        <v>165</v>
      </c>
      <c r="D632" s="19" t="str">
        <f ca="1">ibb1_name</f>
        <v>ADEGOKE TUNDE</v>
      </c>
      <c r="E632" s="26">
        <v>2025</v>
      </c>
      <c r="F632" s="27">
        <v>10000</v>
      </c>
      <c r="G632" s="22">
        <v>120000</v>
      </c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64">
        <f t="shared" ref="S632:S642" si="34">SUM(G632:R632)</f>
        <v>120000</v>
      </c>
      <c r="T632" s="29">
        <f>SUM(F632*IF(E632=_current_year,_current_month,12)-(S632))</f>
        <v>0</v>
      </c>
    </row>
    <row r="633" spans="1:39" ht="51.75" customHeight="1" x14ac:dyDescent="0.25">
      <c r="A633" s="248">
        <v>1</v>
      </c>
      <c r="B633" s="17"/>
      <c r="C633" s="247"/>
      <c r="D633" s="19"/>
      <c r="E633" s="30">
        <v>2024</v>
      </c>
      <c r="F633" s="27">
        <v>5000</v>
      </c>
      <c r="G633" s="22">
        <v>60000</v>
      </c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37">
        <f t="shared" si="34"/>
        <v>60000</v>
      </c>
      <c r="T633" s="22">
        <f>SUM(F633*IF(E633=_current_year,_current_month,12)-(S633))</f>
        <v>0</v>
      </c>
    </row>
    <row r="634" spans="1:39" ht="70.349999999999994" customHeight="1" x14ac:dyDescent="0.25">
      <c r="A634" s="248"/>
      <c r="B634" s="17"/>
      <c r="C634" s="249" t="s">
        <v>166</v>
      </c>
      <c r="D634" s="59"/>
      <c r="E634" s="30">
        <v>2023</v>
      </c>
      <c r="F634" s="27">
        <v>5000</v>
      </c>
      <c r="G634" s="22">
        <v>60000</v>
      </c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37">
        <f t="shared" si="34"/>
        <v>60000</v>
      </c>
      <c r="T634" s="22">
        <f>SUM(F634*IF(E634=_current_year,_current_month,12)-(S634))</f>
        <v>0</v>
      </c>
    </row>
    <row r="635" spans="1:39" s="220" customFormat="1" ht="48" customHeight="1" x14ac:dyDescent="0.4">
      <c r="A635" s="248"/>
      <c r="B635" s="33" t="s">
        <v>28</v>
      </c>
      <c r="C635" s="82" t="s">
        <v>52</v>
      </c>
      <c r="D635" s="82"/>
      <c r="E635" s="30">
        <v>2022</v>
      </c>
      <c r="F635" s="27">
        <v>5000</v>
      </c>
      <c r="G635" s="36">
        <v>60000</v>
      </c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7">
        <f t="shared" si="34"/>
        <v>60000</v>
      </c>
      <c r="T635" s="37">
        <f t="shared" ref="T635:T642" si="35">SUM(60000-S635)</f>
        <v>0</v>
      </c>
      <c r="AM635" s="250"/>
    </row>
    <row r="636" spans="1:39" s="220" customFormat="1" ht="52.5" customHeight="1" x14ac:dyDescent="0.4">
      <c r="A636" s="248"/>
      <c r="B636" s="33" t="s">
        <v>28</v>
      </c>
      <c r="C636" s="82"/>
      <c r="D636" s="82"/>
      <c r="E636" s="30">
        <v>2021</v>
      </c>
      <c r="F636" s="251">
        <v>5000</v>
      </c>
      <c r="G636" s="36">
        <v>60000</v>
      </c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252">
        <f t="shared" si="34"/>
        <v>60000</v>
      </c>
      <c r="T636" s="252">
        <f t="shared" si="35"/>
        <v>0</v>
      </c>
      <c r="AM636" s="250"/>
    </row>
    <row r="637" spans="1:39" s="258" customFormat="1" ht="52.5" customHeight="1" x14ac:dyDescent="0.45">
      <c r="A637" s="248"/>
      <c r="B637" s="253" t="s">
        <v>28</v>
      </c>
      <c r="C637" s="82"/>
      <c r="D637" s="82"/>
      <c r="E637" s="254">
        <v>2020</v>
      </c>
      <c r="F637" s="251">
        <v>5000</v>
      </c>
      <c r="G637" s="255">
        <v>60000</v>
      </c>
      <c r="H637" s="256"/>
      <c r="I637" s="256"/>
      <c r="J637" s="256"/>
      <c r="K637" s="256"/>
      <c r="L637" s="256"/>
      <c r="M637" s="256"/>
      <c r="N637" s="256"/>
      <c r="O637" s="256"/>
      <c r="P637" s="256"/>
      <c r="Q637" s="256"/>
      <c r="R637" s="256"/>
      <c r="S637" s="252">
        <f t="shared" si="34"/>
        <v>60000</v>
      </c>
      <c r="T637" s="257">
        <f t="shared" si="35"/>
        <v>0</v>
      </c>
      <c r="AM637" s="259"/>
    </row>
    <row r="638" spans="1:39" s="258" customFormat="1" ht="52.5" customHeight="1" x14ac:dyDescent="0.45">
      <c r="A638" s="41" t="s">
        <v>167</v>
      </c>
      <c r="B638" s="253"/>
      <c r="C638" s="82"/>
      <c r="D638" s="82"/>
      <c r="E638" s="254">
        <v>2019</v>
      </c>
      <c r="F638" s="251">
        <v>5000</v>
      </c>
      <c r="G638" s="260">
        <v>5000</v>
      </c>
      <c r="H638" s="260">
        <v>5000</v>
      </c>
      <c r="I638" s="260">
        <v>5000</v>
      </c>
      <c r="J638" s="260">
        <v>5000</v>
      </c>
      <c r="K638" s="260">
        <v>5000</v>
      </c>
      <c r="L638" s="260">
        <v>5000</v>
      </c>
      <c r="M638" s="260">
        <v>5000</v>
      </c>
      <c r="N638" s="260">
        <v>5000</v>
      </c>
      <c r="O638" s="260">
        <v>5000</v>
      </c>
      <c r="P638" s="260">
        <v>5000</v>
      </c>
      <c r="Q638" s="260">
        <v>5000</v>
      </c>
      <c r="R638" s="260">
        <v>5000</v>
      </c>
      <c r="S638" s="252">
        <f t="shared" si="34"/>
        <v>60000</v>
      </c>
      <c r="T638" s="257">
        <f t="shared" si="35"/>
        <v>0</v>
      </c>
      <c r="AM638" s="259"/>
    </row>
    <row r="639" spans="1:39" s="258" customFormat="1" ht="52.5" customHeight="1" x14ac:dyDescent="0.45">
      <c r="A639" s="41"/>
      <c r="B639" s="253"/>
      <c r="C639" s="82"/>
      <c r="D639" s="82"/>
      <c r="E639" s="254">
        <v>2018</v>
      </c>
      <c r="F639" s="251">
        <v>5000</v>
      </c>
      <c r="G639" s="260">
        <v>5000</v>
      </c>
      <c r="H639" s="260">
        <v>5000</v>
      </c>
      <c r="I639" s="260">
        <v>5000</v>
      </c>
      <c r="J639" s="260">
        <v>5000</v>
      </c>
      <c r="K639" s="260">
        <v>5000</v>
      </c>
      <c r="L639" s="260">
        <v>5000</v>
      </c>
      <c r="M639" s="260">
        <v>5000</v>
      </c>
      <c r="N639" s="260">
        <v>5000</v>
      </c>
      <c r="O639" s="260">
        <v>5000</v>
      </c>
      <c r="P639" s="260">
        <v>5000</v>
      </c>
      <c r="Q639" s="260">
        <v>5000</v>
      </c>
      <c r="R639" s="260">
        <v>5000</v>
      </c>
      <c r="S639" s="252">
        <f t="shared" si="34"/>
        <v>60000</v>
      </c>
      <c r="T639" s="257">
        <f t="shared" si="35"/>
        <v>0</v>
      </c>
      <c r="AM639" s="259"/>
    </row>
    <row r="640" spans="1:39" s="258" customFormat="1" ht="52.5" customHeight="1" x14ac:dyDescent="0.45">
      <c r="A640" s="261"/>
      <c r="B640" s="253"/>
      <c r="C640" s="82"/>
      <c r="D640" s="82"/>
      <c r="E640" s="254">
        <v>2017</v>
      </c>
      <c r="F640" s="251">
        <v>5000</v>
      </c>
      <c r="G640" s="260">
        <v>5000</v>
      </c>
      <c r="H640" s="260">
        <v>5000</v>
      </c>
      <c r="I640" s="260">
        <v>5000</v>
      </c>
      <c r="J640" s="260">
        <v>5000</v>
      </c>
      <c r="K640" s="260">
        <v>5000</v>
      </c>
      <c r="L640" s="260">
        <v>5000</v>
      </c>
      <c r="M640" s="260">
        <v>5000</v>
      </c>
      <c r="N640" s="260">
        <v>5000</v>
      </c>
      <c r="O640" s="260">
        <v>5000</v>
      </c>
      <c r="P640" s="260">
        <v>5000</v>
      </c>
      <c r="Q640" s="260">
        <v>5000</v>
      </c>
      <c r="R640" s="260">
        <v>5000</v>
      </c>
      <c r="S640" s="252">
        <f t="shared" si="34"/>
        <v>60000</v>
      </c>
      <c r="T640" s="257">
        <f t="shared" si="35"/>
        <v>0</v>
      </c>
      <c r="AM640" s="259"/>
    </row>
    <row r="641" spans="1:39" s="258" customFormat="1" ht="52.5" customHeight="1" x14ac:dyDescent="0.45">
      <c r="A641" s="261"/>
      <c r="B641" s="253"/>
      <c r="C641" s="82"/>
      <c r="D641" s="82"/>
      <c r="E641" s="254">
        <v>2016</v>
      </c>
      <c r="F641" s="251">
        <v>5000</v>
      </c>
      <c r="G641" s="260">
        <v>5000</v>
      </c>
      <c r="H641" s="260">
        <v>5000</v>
      </c>
      <c r="I641" s="260">
        <v>5000</v>
      </c>
      <c r="J641" s="260">
        <v>5000</v>
      </c>
      <c r="K641" s="260">
        <v>5000</v>
      </c>
      <c r="L641" s="260">
        <v>5000</v>
      </c>
      <c r="M641" s="260">
        <v>5000</v>
      </c>
      <c r="N641" s="260">
        <v>5000</v>
      </c>
      <c r="O641" s="260">
        <v>5000</v>
      </c>
      <c r="P641" s="260">
        <v>5000</v>
      </c>
      <c r="Q641" s="260">
        <v>5000</v>
      </c>
      <c r="R641" s="260">
        <v>5000</v>
      </c>
      <c r="S641" s="252">
        <f t="shared" si="34"/>
        <v>60000</v>
      </c>
      <c r="T641" s="257">
        <f t="shared" si="35"/>
        <v>0</v>
      </c>
      <c r="AM641" s="259"/>
    </row>
    <row r="642" spans="1:39" s="258" customFormat="1" ht="52.5" customHeight="1" x14ac:dyDescent="0.45">
      <c r="A642" s="262"/>
      <c r="B642" s="253"/>
      <c r="C642" s="82"/>
      <c r="D642" s="82"/>
      <c r="E642" s="254">
        <v>2015</v>
      </c>
      <c r="F642" s="251">
        <v>5000</v>
      </c>
      <c r="G642" s="260">
        <v>5000</v>
      </c>
      <c r="H642" s="260">
        <v>5000</v>
      </c>
      <c r="I642" s="260">
        <v>5000</v>
      </c>
      <c r="J642" s="260">
        <v>5000</v>
      </c>
      <c r="K642" s="260">
        <v>5000</v>
      </c>
      <c r="L642" s="260">
        <v>5000</v>
      </c>
      <c r="M642" s="260">
        <v>5000</v>
      </c>
      <c r="N642" s="260">
        <v>5000</v>
      </c>
      <c r="O642" s="260">
        <v>5000</v>
      </c>
      <c r="P642" s="260">
        <v>5000</v>
      </c>
      <c r="Q642" s="260">
        <v>5000</v>
      </c>
      <c r="R642" s="260">
        <v>5000</v>
      </c>
      <c r="S642" s="252">
        <f t="shared" si="34"/>
        <v>60000</v>
      </c>
      <c r="T642" s="257">
        <f t="shared" si="35"/>
        <v>0</v>
      </c>
      <c r="AM642" s="259"/>
    </row>
    <row r="643" spans="1:39" s="258" customFormat="1" ht="65.25" customHeight="1" thickBot="1" x14ac:dyDescent="0.5">
      <c r="A643" s="263"/>
      <c r="B643" s="253"/>
      <c r="C643" s="253"/>
      <c r="D643" s="15"/>
      <c r="E643" s="264"/>
      <c r="F643" s="265"/>
      <c r="G643" s="266"/>
      <c r="H643" s="266"/>
      <c r="I643" s="266"/>
      <c r="J643" s="266"/>
      <c r="K643" s="266"/>
      <c r="L643" s="266"/>
      <c r="M643" s="266"/>
      <c r="N643" s="266"/>
      <c r="O643" s="266"/>
      <c r="P643" s="266"/>
      <c r="Q643" s="266"/>
      <c r="R643" s="266"/>
      <c r="S643" s="267">
        <f>SUM(S633:S642)</f>
        <v>600000</v>
      </c>
      <c r="T643" s="268">
        <f>SUM(T632:T642)</f>
        <v>0</v>
      </c>
      <c r="AM643" s="259"/>
    </row>
    <row r="644" spans="1:39" s="258" customFormat="1" ht="44.25" customHeight="1" x14ac:dyDescent="0.45">
      <c r="A644" s="263"/>
      <c r="B644" s="253"/>
      <c r="C644" s="253"/>
      <c r="D644" s="15"/>
      <c r="E644" s="253"/>
      <c r="F644" s="253"/>
      <c r="G644" s="253"/>
      <c r="H644" s="253"/>
      <c r="I644" s="253"/>
      <c r="J644" s="253"/>
      <c r="K644" s="253"/>
      <c r="L644" s="253"/>
      <c r="M644" s="253"/>
      <c r="N644" s="253"/>
      <c r="O644" s="253"/>
      <c r="P644" s="253"/>
      <c r="Q644" s="253"/>
      <c r="R644" s="253"/>
      <c r="S644" s="269"/>
      <c r="T644" s="269"/>
      <c r="AM644" s="259"/>
    </row>
    <row r="645" spans="1:39" s="245" customFormat="1" ht="58.5" customHeight="1" x14ac:dyDescent="0.5">
      <c r="A645" s="55" t="s">
        <v>31</v>
      </c>
      <c r="B645" s="241" t="s">
        <v>7</v>
      </c>
      <c r="C645" s="242" t="s">
        <v>32</v>
      </c>
      <c r="D645" s="243" t="s">
        <v>33</v>
      </c>
      <c r="E645" s="242" t="s">
        <v>34</v>
      </c>
      <c r="F645" s="244" t="s">
        <v>11</v>
      </c>
      <c r="G645" s="244" t="s">
        <v>12</v>
      </c>
      <c r="H645" s="244" t="s">
        <v>13</v>
      </c>
      <c r="I645" s="244" t="s">
        <v>14</v>
      </c>
      <c r="J645" s="244" t="s">
        <v>15</v>
      </c>
      <c r="K645" s="244" t="s">
        <v>16</v>
      </c>
      <c r="L645" s="244" t="s">
        <v>17</v>
      </c>
      <c r="M645" s="244" t="s">
        <v>18</v>
      </c>
      <c r="N645" s="244" t="s">
        <v>19</v>
      </c>
      <c r="O645" s="244" t="s">
        <v>20</v>
      </c>
      <c r="P645" s="244" t="s">
        <v>21</v>
      </c>
      <c r="Q645" s="244" t="s">
        <v>22</v>
      </c>
      <c r="R645" s="244" t="s">
        <v>23</v>
      </c>
      <c r="S645" s="20" t="s">
        <v>24</v>
      </c>
      <c r="T645" s="20" t="s">
        <v>25</v>
      </c>
      <c r="AM645" s="246"/>
    </row>
    <row r="646" spans="1:39" ht="59.25" customHeight="1" x14ac:dyDescent="0.25">
      <c r="A646" s="270" t="s">
        <v>168</v>
      </c>
      <c r="B646" s="17"/>
      <c r="C646" s="271" t="s">
        <v>124</v>
      </c>
      <c r="D646" s="19"/>
      <c r="E646" s="26">
        <v>2025</v>
      </c>
      <c r="F646" s="27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64">
        <f>SUM(G646:K646)</f>
        <v>0</v>
      </c>
      <c r="T646" s="29">
        <f>SUM(F646*IF(E646=_current_year,_current_month,12)-(S646))</f>
        <v>0</v>
      </c>
    </row>
    <row r="647" spans="1:39" s="220" customFormat="1" ht="68.25" customHeight="1" x14ac:dyDescent="0.4">
      <c r="A647" s="270"/>
      <c r="B647" s="33" t="s">
        <v>28</v>
      </c>
      <c r="C647" s="272"/>
      <c r="D647" s="35"/>
      <c r="E647" s="30"/>
      <c r="F647" s="273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37">
        <f>SUM(G647:R647)</f>
        <v>0</v>
      </c>
      <c r="T647" s="274">
        <f>SUM(F647*IF(E647=_current_year,_current_month,12)-(S647))</f>
        <v>0</v>
      </c>
      <c r="AM647" s="250"/>
    </row>
    <row r="648" spans="1:39" s="220" customFormat="1" ht="58.5" customHeight="1" x14ac:dyDescent="0.4">
      <c r="A648" s="41" t="s">
        <v>167</v>
      </c>
      <c r="B648" s="33" t="s">
        <v>28</v>
      </c>
      <c r="C648" s="38" t="s">
        <v>52</v>
      </c>
      <c r="D648" s="38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275"/>
      <c r="T648" s="275"/>
      <c r="AM648" s="250"/>
    </row>
    <row r="649" spans="1:39" s="258" customFormat="1" ht="52.5" customHeight="1" x14ac:dyDescent="0.45">
      <c r="A649" s="41"/>
      <c r="B649" s="253"/>
      <c r="C649" s="38"/>
      <c r="D649" s="38"/>
      <c r="E649" s="276"/>
      <c r="F649" s="276"/>
      <c r="G649" s="276"/>
      <c r="H649" s="276"/>
      <c r="I649" s="276"/>
      <c r="J649" s="276"/>
      <c r="K649" s="276"/>
      <c r="L649" s="276"/>
      <c r="M649" s="276"/>
      <c r="N649" s="276"/>
      <c r="O649" s="276"/>
      <c r="P649" s="276"/>
      <c r="Q649" s="276"/>
      <c r="R649" s="276"/>
      <c r="S649" s="277"/>
      <c r="T649" s="277"/>
      <c r="AM649" s="259"/>
    </row>
    <row r="650" spans="1:39" s="238" customFormat="1" ht="52.5" customHeight="1" thickBot="1" x14ac:dyDescent="0.45">
      <c r="A650" s="234"/>
      <c r="B650" s="234"/>
      <c r="C650" s="235"/>
      <c r="D650" s="236"/>
      <c r="E650" s="264"/>
      <c r="F650" s="265"/>
      <c r="G650" s="266"/>
      <c r="H650" s="266"/>
      <c r="I650" s="266"/>
      <c r="J650" s="266"/>
      <c r="K650" s="266"/>
      <c r="L650" s="266"/>
      <c r="M650" s="266"/>
      <c r="N650" s="266"/>
      <c r="O650" s="266"/>
      <c r="P650" s="266"/>
      <c r="Q650" s="266"/>
      <c r="R650" s="266"/>
      <c r="S650" s="267">
        <f>SUM(S646:S649)</f>
        <v>0</v>
      </c>
      <c r="T650" s="268">
        <f>SUM(T646:T649)</f>
        <v>0</v>
      </c>
      <c r="AM650" s="239"/>
    </row>
    <row r="651" spans="1:39" s="258" customFormat="1" ht="65.25" customHeight="1" x14ac:dyDescent="0.45">
      <c r="A651" s="278"/>
      <c r="B651" s="253"/>
      <c r="C651" s="253"/>
      <c r="D651" s="68"/>
      <c r="E651" s="253"/>
      <c r="F651" s="253"/>
      <c r="G651" s="253"/>
      <c r="H651" s="253"/>
      <c r="I651" s="253"/>
      <c r="J651" s="253"/>
      <c r="K651" s="253"/>
      <c r="L651" s="253"/>
      <c r="M651" s="253"/>
      <c r="N651" s="253"/>
      <c r="O651" s="253"/>
      <c r="P651" s="253"/>
      <c r="Q651" s="253"/>
      <c r="R651" s="253"/>
      <c r="S651" s="269"/>
      <c r="T651" s="269"/>
      <c r="AM651" s="259"/>
    </row>
    <row r="652" spans="1:39" s="258" customFormat="1" ht="65.25" customHeight="1" x14ac:dyDescent="0.45">
      <c r="A652" s="278"/>
      <c r="B652" s="253"/>
      <c r="C652" s="253"/>
      <c r="D652" s="68"/>
      <c r="E652" s="253"/>
      <c r="F652" s="253"/>
      <c r="G652" s="253"/>
      <c r="H652" s="253"/>
      <c r="I652" s="253"/>
      <c r="J652" s="253"/>
      <c r="K652" s="253"/>
      <c r="L652" s="253"/>
      <c r="M652" s="253"/>
      <c r="N652" s="253"/>
      <c r="O652" s="253"/>
      <c r="P652" s="253"/>
      <c r="Q652" s="253"/>
      <c r="R652" s="253"/>
      <c r="S652" s="269"/>
      <c r="T652" s="269"/>
      <c r="AM652" s="259"/>
    </row>
    <row r="653" spans="1:39" s="258" customFormat="1" ht="65.25" customHeight="1" x14ac:dyDescent="0.45">
      <c r="A653" s="278"/>
      <c r="B653" s="253"/>
      <c r="C653" s="253"/>
      <c r="D653" s="68"/>
      <c r="E653" s="253"/>
      <c r="F653" s="253"/>
      <c r="G653" s="253"/>
      <c r="H653" s="253"/>
      <c r="I653" s="253"/>
      <c r="J653" s="253"/>
      <c r="K653" s="253"/>
      <c r="L653" s="253"/>
      <c r="M653" s="253"/>
      <c r="N653" s="253"/>
      <c r="O653" s="253"/>
      <c r="P653" s="253"/>
      <c r="Q653" s="253"/>
      <c r="R653" s="253"/>
      <c r="S653" s="269"/>
      <c r="T653" s="269"/>
      <c r="AM653" s="259"/>
    </row>
    <row r="654" spans="1:39" s="258" customFormat="1" ht="65.25" customHeight="1" x14ac:dyDescent="0.45">
      <c r="A654" s="278"/>
      <c r="B654" s="253"/>
      <c r="C654" s="253"/>
      <c r="D654" s="68"/>
      <c r="E654" s="253"/>
      <c r="F654" s="253"/>
      <c r="G654" s="253"/>
      <c r="H654" s="253"/>
      <c r="I654" s="253"/>
      <c r="J654" s="253"/>
      <c r="K654" s="253"/>
      <c r="L654" s="253"/>
      <c r="M654" s="253"/>
      <c r="N654" s="253"/>
      <c r="O654" s="253"/>
      <c r="P654" s="253"/>
      <c r="Q654" s="253"/>
      <c r="R654" s="253"/>
      <c r="S654" s="269"/>
      <c r="T654" s="269"/>
      <c r="AM654" s="259"/>
    </row>
    <row r="655" spans="1:39" s="245" customFormat="1" ht="58.5" customHeight="1" x14ac:dyDescent="0.5">
      <c r="A655" s="55" t="s">
        <v>31</v>
      </c>
      <c r="B655" s="241" t="s">
        <v>7</v>
      </c>
      <c r="C655" s="242" t="s">
        <v>32</v>
      </c>
      <c r="D655" s="243" t="s">
        <v>33</v>
      </c>
      <c r="E655" s="242" t="s">
        <v>34</v>
      </c>
      <c r="F655" s="244" t="s">
        <v>11</v>
      </c>
      <c r="G655" s="244" t="s">
        <v>12</v>
      </c>
      <c r="H655" s="244" t="s">
        <v>13</v>
      </c>
      <c r="I655" s="244" t="s">
        <v>14</v>
      </c>
      <c r="J655" s="244" t="s">
        <v>15</v>
      </c>
      <c r="K655" s="244" t="s">
        <v>16</v>
      </c>
      <c r="L655" s="244" t="s">
        <v>17</v>
      </c>
      <c r="M655" s="244" t="s">
        <v>18</v>
      </c>
      <c r="N655" s="244" t="s">
        <v>19</v>
      </c>
      <c r="O655" s="244" t="s">
        <v>20</v>
      </c>
      <c r="P655" s="244" t="s">
        <v>21</v>
      </c>
      <c r="Q655" s="244" t="s">
        <v>22</v>
      </c>
      <c r="R655" s="244" t="s">
        <v>23</v>
      </c>
      <c r="S655" s="20" t="s">
        <v>24</v>
      </c>
      <c r="T655" s="20" t="s">
        <v>25</v>
      </c>
      <c r="AM655" s="246"/>
    </row>
    <row r="656" spans="1:39" ht="51.75" customHeight="1" x14ac:dyDescent="0.25">
      <c r="A656" s="270" t="s">
        <v>169</v>
      </c>
      <c r="B656" s="17"/>
      <c r="C656" s="279" t="s">
        <v>170</v>
      </c>
      <c r="D656" s="19"/>
      <c r="E656" s="26">
        <v>2025</v>
      </c>
      <c r="F656" s="27">
        <v>5000</v>
      </c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64">
        <f>SUM(G656:R656)</f>
        <v>0</v>
      </c>
      <c r="T656" s="29">
        <f>SUM(F656*IF(E656=_current_year,_current_month,12)-(S656))</f>
        <v>60000</v>
      </c>
    </row>
    <row r="657" spans="1:39" ht="51.75" customHeight="1" x14ac:dyDescent="0.25">
      <c r="A657" s="270"/>
      <c r="B657" s="17"/>
      <c r="C657" s="279"/>
      <c r="D657" s="19"/>
      <c r="E657" s="30">
        <v>2024</v>
      </c>
      <c r="F657" s="27">
        <v>3000</v>
      </c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37">
        <f>SUM(G657:R657)</f>
        <v>0</v>
      </c>
      <c r="T657" s="22">
        <f>SUM(F657*IF(E657=_current_year,_current_month,12)-(S657))</f>
        <v>36000</v>
      </c>
    </row>
    <row r="658" spans="1:39" ht="51.75" customHeight="1" x14ac:dyDescent="0.25">
      <c r="A658" s="270"/>
      <c r="B658" s="17"/>
      <c r="C658" s="279"/>
      <c r="D658" s="19"/>
      <c r="E658" s="30">
        <v>2023</v>
      </c>
      <c r="F658" s="27">
        <v>3000</v>
      </c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37">
        <f>SUM(G658:R658)</f>
        <v>0</v>
      </c>
      <c r="T658" s="22">
        <f>SUM(F658*IF(E658=_current_year,_current_month,12)-(S658))</f>
        <v>36000</v>
      </c>
    </row>
    <row r="659" spans="1:39" s="220" customFormat="1" ht="48" customHeight="1" x14ac:dyDescent="0.4">
      <c r="A659" s="270"/>
      <c r="B659" s="33" t="s">
        <v>28</v>
      </c>
      <c r="C659" s="272" t="s">
        <v>171</v>
      </c>
      <c r="D659" s="35"/>
      <c r="E659" s="30">
        <v>2022</v>
      </c>
      <c r="F659" s="27">
        <v>3000</v>
      </c>
      <c r="G659" s="179"/>
      <c r="H659" s="179"/>
      <c r="I659" s="179"/>
      <c r="J659" s="179"/>
      <c r="K659" s="280"/>
      <c r="L659" s="36"/>
      <c r="M659" s="36"/>
      <c r="N659" s="36">
        <v>18000</v>
      </c>
      <c r="O659" s="36"/>
      <c r="P659" s="36"/>
      <c r="Q659" s="36"/>
      <c r="R659" s="36">
        <v>18000</v>
      </c>
      <c r="S659" s="37">
        <f>SUM(G659:R659)</f>
        <v>36000</v>
      </c>
      <c r="T659" s="22">
        <f>SUM(F659*7)-(S659)</f>
        <v>-15000</v>
      </c>
      <c r="AM659" s="250"/>
    </row>
    <row r="660" spans="1:39" s="220" customFormat="1" ht="58.5" customHeight="1" x14ac:dyDescent="0.4">
      <c r="A660" s="41" t="s">
        <v>167</v>
      </c>
      <c r="B660" s="33" t="s">
        <v>28</v>
      </c>
      <c r="C660" s="38" t="s">
        <v>52</v>
      </c>
      <c r="D660" s="38"/>
      <c r="E660" s="104" t="s">
        <v>172</v>
      </c>
      <c r="F660" s="104"/>
      <c r="G660" s="104"/>
      <c r="H660" s="104"/>
      <c r="I660" s="104"/>
      <c r="J660" s="104"/>
      <c r="K660" s="104"/>
      <c r="L660" s="104"/>
      <c r="M660" s="104"/>
      <c r="N660" s="104"/>
      <c r="O660" s="104"/>
      <c r="P660" s="104"/>
      <c r="Q660" s="104"/>
      <c r="R660" s="104"/>
      <c r="S660" s="275"/>
      <c r="T660" s="275"/>
      <c r="AM660" s="250"/>
    </row>
    <row r="661" spans="1:39" s="258" customFormat="1" ht="71.25" customHeight="1" x14ac:dyDescent="0.45">
      <c r="A661" s="41"/>
      <c r="B661" s="253" t="s">
        <v>28</v>
      </c>
      <c r="C661" s="38"/>
      <c r="D661" s="38"/>
      <c r="E661" s="104" t="s">
        <v>173</v>
      </c>
      <c r="F661" s="276"/>
      <c r="G661" s="276"/>
      <c r="H661" s="276"/>
      <c r="I661" s="276"/>
      <c r="J661" s="276"/>
      <c r="K661" s="276"/>
      <c r="L661" s="276"/>
      <c r="M661" s="276"/>
      <c r="N661" s="276"/>
      <c r="O661" s="276"/>
      <c r="P661" s="276"/>
      <c r="Q661" s="276"/>
      <c r="R661" s="276"/>
      <c r="S661" s="281"/>
      <c r="T661" s="277"/>
      <c r="AM661" s="259"/>
    </row>
    <row r="662" spans="1:39" s="238" customFormat="1" ht="52.5" customHeight="1" thickBot="1" x14ac:dyDescent="0.45">
      <c r="A662" s="234"/>
      <c r="B662" s="234"/>
      <c r="C662" s="235"/>
      <c r="D662" s="236"/>
      <c r="E662" s="264"/>
      <c r="F662" s="265"/>
      <c r="G662" s="266"/>
      <c r="H662" s="266"/>
      <c r="I662" s="266"/>
      <c r="J662" s="266"/>
      <c r="K662" s="266"/>
      <c r="L662" s="266"/>
      <c r="M662" s="266"/>
      <c r="N662" s="266"/>
      <c r="O662" s="266"/>
      <c r="P662" s="266"/>
      <c r="Q662" s="266"/>
      <c r="R662" s="266"/>
      <c r="S662" s="267">
        <f>SUM(S656:S661)</f>
        <v>36000</v>
      </c>
      <c r="T662" s="268">
        <f>SUM(T656:T661)</f>
        <v>117000</v>
      </c>
      <c r="AM662" s="239"/>
    </row>
    <row r="663" spans="1:39" s="258" customFormat="1" ht="65.25" customHeight="1" x14ac:dyDescent="0.45">
      <c r="A663" s="278"/>
      <c r="B663" s="253"/>
      <c r="C663" s="253"/>
      <c r="D663" s="68"/>
      <c r="E663" s="253"/>
      <c r="F663" s="253"/>
      <c r="G663" s="253"/>
      <c r="H663" s="253"/>
      <c r="I663" s="253"/>
      <c r="J663" s="253"/>
      <c r="K663" s="253"/>
      <c r="L663" s="253"/>
      <c r="M663" s="253"/>
      <c r="N663" s="253"/>
      <c r="O663" s="253"/>
      <c r="P663" s="253"/>
      <c r="Q663" s="253"/>
      <c r="R663" s="253"/>
      <c r="S663" s="269"/>
      <c r="T663" s="269"/>
      <c r="AM663" s="259"/>
    </row>
    <row r="664" spans="1:39" s="245" customFormat="1" ht="58.5" customHeight="1" x14ac:dyDescent="0.5">
      <c r="A664" s="55" t="s">
        <v>31</v>
      </c>
      <c r="B664" s="241" t="s">
        <v>7</v>
      </c>
      <c r="C664" s="242" t="s">
        <v>32</v>
      </c>
      <c r="D664" s="243" t="s">
        <v>33</v>
      </c>
      <c r="E664" s="242" t="s">
        <v>34</v>
      </c>
      <c r="F664" s="244" t="s">
        <v>11</v>
      </c>
      <c r="G664" s="244" t="s">
        <v>12</v>
      </c>
      <c r="H664" s="244" t="s">
        <v>13</v>
      </c>
      <c r="I664" s="244" t="s">
        <v>14</v>
      </c>
      <c r="J664" s="244" t="s">
        <v>15</v>
      </c>
      <c r="K664" s="244" t="s">
        <v>16</v>
      </c>
      <c r="L664" s="244" t="s">
        <v>17</v>
      </c>
      <c r="M664" s="244" t="s">
        <v>18</v>
      </c>
      <c r="N664" s="244" t="s">
        <v>19</v>
      </c>
      <c r="O664" s="244" t="s">
        <v>20</v>
      </c>
      <c r="P664" s="244" t="s">
        <v>21</v>
      </c>
      <c r="Q664" s="244" t="s">
        <v>22</v>
      </c>
      <c r="R664" s="244" t="s">
        <v>23</v>
      </c>
      <c r="S664" s="20" t="s">
        <v>24</v>
      </c>
      <c r="T664" s="20" t="s">
        <v>25</v>
      </c>
      <c r="AM664" s="246"/>
    </row>
    <row r="665" spans="1:39" ht="51.75" customHeight="1" x14ac:dyDescent="0.25">
      <c r="A665" s="282" t="s">
        <v>174</v>
      </c>
      <c r="B665" s="17"/>
      <c r="C665" s="279" t="s">
        <v>175</v>
      </c>
      <c r="D665" s="84" t="s">
        <v>176</v>
      </c>
      <c r="E665" s="26">
        <v>2025</v>
      </c>
      <c r="F665" s="27">
        <v>5000</v>
      </c>
      <c r="G665" s="22"/>
      <c r="H665" s="22"/>
      <c r="I665" s="22"/>
      <c r="J665" s="22"/>
      <c r="K665" s="22"/>
      <c r="L665" s="22"/>
      <c r="M665" s="22"/>
      <c r="N665" s="22"/>
      <c r="O665" s="22">
        <v>36000</v>
      </c>
      <c r="P665" s="22"/>
      <c r="Q665" s="22"/>
      <c r="R665" s="22"/>
      <c r="S665" s="64">
        <f>SUM(G665:R665)</f>
        <v>36000</v>
      </c>
      <c r="T665" s="29">
        <f>SUM(F665*IF(E665=_current_year,_current_month,12)-(S665))</f>
        <v>24000</v>
      </c>
    </row>
    <row r="666" spans="1:39" ht="51.75" customHeight="1" x14ac:dyDescent="0.25">
      <c r="A666" s="282"/>
      <c r="B666" s="17"/>
      <c r="C666" s="279"/>
      <c r="D666" s="84" t="s">
        <v>176</v>
      </c>
      <c r="E666" s="30">
        <v>2024</v>
      </c>
      <c r="F666" s="27">
        <v>3000</v>
      </c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37">
        <f>SUM(G666:R666)</f>
        <v>0</v>
      </c>
      <c r="T666" s="22">
        <f>SUM(F666*IF(E666=_current_year,_current_month,12)-(S666))</f>
        <v>36000</v>
      </c>
    </row>
    <row r="667" spans="1:39" ht="51.75" customHeight="1" x14ac:dyDescent="0.25">
      <c r="A667" s="282"/>
      <c r="B667" s="17"/>
      <c r="C667" s="279"/>
      <c r="D667" s="84"/>
      <c r="E667" s="30">
        <v>2023</v>
      </c>
      <c r="F667" s="27">
        <v>3000</v>
      </c>
      <c r="G667" s="22"/>
      <c r="H667" s="22"/>
      <c r="I667" s="22"/>
      <c r="J667" s="22">
        <v>36000</v>
      </c>
      <c r="K667" s="22"/>
      <c r="L667" s="22"/>
      <c r="M667" s="22"/>
      <c r="N667" s="22"/>
      <c r="O667" s="22"/>
      <c r="P667" s="22"/>
      <c r="Q667" s="22"/>
      <c r="R667" s="22">
        <v>60000</v>
      </c>
      <c r="S667" s="37">
        <f>SUM(G667:R667)</f>
        <v>96000</v>
      </c>
      <c r="T667" s="22">
        <f>SUM(F667*IF(E667=_current_year,_current_month,12)-(S667))</f>
        <v>-60000</v>
      </c>
    </row>
    <row r="668" spans="1:39" s="220" customFormat="1" ht="48" customHeight="1" x14ac:dyDescent="0.4">
      <c r="A668" s="282"/>
      <c r="B668" s="33" t="s">
        <v>28</v>
      </c>
      <c r="C668" s="279"/>
      <c r="D668" s="35"/>
      <c r="E668" s="283">
        <v>2022</v>
      </c>
      <c r="F668" s="284">
        <v>3000</v>
      </c>
      <c r="G668" s="104"/>
      <c r="H668" s="104"/>
      <c r="I668" s="104"/>
      <c r="J668" s="104"/>
      <c r="K668" s="104"/>
      <c r="L668" s="104"/>
      <c r="M668" s="104"/>
      <c r="N668" s="60"/>
      <c r="O668" s="36"/>
      <c r="P668" s="36"/>
      <c r="Q668" s="36"/>
      <c r="R668" s="36"/>
      <c r="S668" s="37">
        <f>SUM(G668:R668)</f>
        <v>0</v>
      </c>
      <c r="T668" s="22">
        <f>SUM(F668*5)-(S668)</f>
        <v>15000</v>
      </c>
      <c r="AM668" s="250"/>
    </row>
    <row r="669" spans="1:39" s="220" customFormat="1" ht="58.5" customHeight="1" x14ac:dyDescent="0.75">
      <c r="A669" s="285"/>
      <c r="B669" s="33" t="s">
        <v>28</v>
      </c>
      <c r="C669" s="38" t="s">
        <v>52</v>
      </c>
      <c r="D669" s="38"/>
      <c r="E669" s="104"/>
      <c r="F669" s="104"/>
      <c r="G669" s="104"/>
      <c r="H669" s="104"/>
      <c r="I669" s="104"/>
      <c r="J669" s="104"/>
      <c r="K669" s="104"/>
      <c r="L669" s="104"/>
      <c r="M669" s="104"/>
      <c r="N669" s="104"/>
      <c r="O669" s="104"/>
      <c r="P669" s="104"/>
      <c r="Q669" s="104"/>
      <c r="R669" s="104"/>
      <c r="S669" s="275"/>
      <c r="T669" s="275"/>
      <c r="AM669" s="250"/>
    </row>
    <row r="670" spans="1:39" s="258" customFormat="1" ht="71.25" customHeight="1" x14ac:dyDescent="0.45">
      <c r="A670" s="41" t="s">
        <v>167</v>
      </c>
      <c r="B670" s="253" t="s">
        <v>28</v>
      </c>
      <c r="C670" s="38"/>
      <c r="D670" s="38"/>
      <c r="E670" s="276"/>
      <c r="F670" s="276"/>
      <c r="G670" s="276"/>
      <c r="H670" s="276"/>
      <c r="I670" s="276"/>
      <c r="J670" s="276"/>
      <c r="K670" s="276"/>
      <c r="L670" s="276"/>
      <c r="M670" s="276"/>
      <c r="N670" s="276"/>
      <c r="O670" s="276"/>
      <c r="P670" s="276"/>
      <c r="Q670" s="276"/>
      <c r="R670" s="276"/>
      <c r="S670" s="275"/>
      <c r="T670" s="286"/>
      <c r="AM670" s="259"/>
    </row>
    <row r="671" spans="1:39" s="258" customFormat="1" ht="52.5" customHeight="1" x14ac:dyDescent="0.45">
      <c r="A671" s="41"/>
      <c r="B671" s="253"/>
      <c r="C671" s="38"/>
      <c r="D671" s="38"/>
      <c r="E671" s="276"/>
      <c r="F671" s="276"/>
      <c r="G671" s="276"/>
      <c r="H671" s="276"/>
      <c r="I671" s="276"/>
      <c r="J671" s="276"/>
      <c r="K671" s="276"/>
      <c r="L671" s="276"/>
      <c r="M671" s="276"/>
      <c r="N671" s="276"/>
      <c r="O671" s="276"/>
      <c r="P671" s="276"/>
      <c r="Q671" s="276"/>
      <c r="R671" s="276"/>
      <c r="S671" s="281"/>
      <c r="T671" s="277"/>
      <c r="AM671" s="259"/>
    </row>
    <row r="672" spans="1:39" s="238" customFormat="1" ht="52.5" customHeight="1" thickBot="1" x14ac:dyDescent="0.45">
      <c r="A672" s="234"/>
      <c r="B672" s="234"/>
      <c r="C672" s="235"/>
      <c r="D672" s="236"/>
      <c r="E672" s="264"/>
      <c r="F672" s="265"/>
      <c r="G672" s="266"/>
      <c r="H672" s="266"/>
      <c r="I672" s="266"/>
      <c r="J672" s="266"/>
      <c r="K672" s="266"/>
      <c r="L672" s="266"/>
      <c r="M672" s="266"/>
      <c r="N672" s="266"/>
      <c r="O672" s="266"/>
      <c r="P672" s="266"/>
      <c r="Q672" s="266"/>
      <c r="R672" s="266"/>
      <c r="S672" s="267">
        <f>SUM(S665:S671)</f>
        <v>132000</v>
      </c>
      <c r="T672" s="268">
        <f>SUM(T665:T671)</f>
        <v>15000</v>
      </c>
      <c r="AM672" s="239"/>
    </row>
    <row r="673" spans="1:39" s="258" customFormat="1" ht="32.25" customHeight="1" x14ac:dyDescent="0.45">
      <c r="A673" s="278"/>
      <c r="B673" s="253"/>
      <c r="C673" s="253"/>
      <c r="D673" s="68"/>
      <c r="E673" s="253"/>
      <c r="F673" s="253"/>
      <c r="G673" s="253"/>
      <c r="H673" s="253"/>
      <c r="I673" s="253"/>
      <c r="J673" s="253"/>
      <c r="K673" s="253"/>
      <c r="L673" s="253"/>
      <c r="M673" s="253"/>
      <c r="N673" s="253"/>
      <c r="O673" s="253"/>
      <c r="P673" s="253"/>
      <c r="Q673" s="253"/>
      <c r="R673" s="253"/>
      <c r="S673" s="269"/>
      <c r="T673" s="269"/>
      <c r="AM673" s="259"/>
    </row>
    <row r="674" spans="1:39" s="245" customFormat="1" ht="58.5" customHeight="1" x14ac:dyDescent="0.5">
      <c r="A674" s="55" t="s">
        <v>31</v>
      </c>
      <c r="B674" s="241" t="s">
        <v>7</v>
      </c>
      <c r="C674" s="242" t="s">
        <v>32</v>
      </c>
      <c r="D674" s="243" t="s">
        <v>33</v>
      </c>
      <c r="E674" s="242" t="s">
        <v>34</v>
      </c>
      <c r="F674" s="244" t="s">
        <v>11</v>
      </c>
      <c r="G674" s="244" t="s">
        <v>12</v>
      </c>
      <c r="H674" s="244" t="s">
        <v>13</v>
      </c>
      <c r="I674" s="244" t="s">
        <v>14</v>
      </c>
      <c r="J674" s="244" t="s">
        <v>15</v>
      </c>
      <c r="K674" s="244" t="s">
        <v>16</v>
      </c>
      <c r="L674" s="244" t="s">
        <v>17</v>
      </c>
      <c r="M674" s="244" t="s">
        <v>18</v>
      </c>
      <c r="N674" s="244" t="s">
        <v>19</v>
      </c>
      <c r="O674" s="244" t="s">
        <v>20</v>
      </c>
      <c r="P674" s="244" t="s">
        <v>21</v>
      </c>
      <c r="Q674" s="244" t="s">
        <v>22</v>
      </c>
      <c r="R674" s="244" t="s">
        <v>23</v>
      </c>
      <c r="S674" s="20" t="s">
        <v>24</v>
      </c>
      <c r="T674" s="20" t="s">
        <v>25</v>
      </c>
      <c r="AM674" s="246"/>
    </row>
    <row r="675" spans="1:39" ht="51.75" customHeight="1" x14ac:dyDescent="0.25">
      <c r="A675" s="282" t="s">
        <v>177</v>
      </c>
      <c r="B675" s="17"/>
      <c r="C675" s="279" t="s">
        <v>178</v>
      </c>
      <c r="D675" s="84" t="s">
        <v>176</v>
      </c>
      <c r="E675" s="26">
        <v>2025</v>
      </c>
      <c r="F675" s="27">
        <v>5000</v>
      </c>
      <c r="G675" s="22"/>
      <c r="H675" s="22"/>
      <c r="I675" s="22"/>
      <c r="J675" s="22"/>
      <c r="K675" s="22"/>
      <c r="L675" s="22"/>
      <c r="M675" s="22">
        <v>86000</v>
      </c>
      <c r="N675" s="22"/>
      <c r="O675" s="22">
        <v>10000</v>
      </c>
      <c r="P675" s="22"/>
      <c r="Q675" s="22"/>
      <c r="R675" s="22"/>
      <c r="S675" s="64">
        <f>SUM(G675:R675)</f>
        <v>96000</v>
      </c>
      <c r="T675" s="29">
        <f>SUM(F675*IF(E675=_current_year,_current_month,12)-(S675))</f>
        <v>-36000</v>
      </c>
    </row>
    <row r="676" spans="1:39" ht="51.75" customHeight="1" x14ac:dyDescent="0.25">
      <c r="A676" s="282"/>
      <c r="B676" s="17"/>
      <c r="C676" s="287"/>
      <c r="D676" s="84" t="s">
        <v>176</v>
      </c>
      <c r="E676" s="30">
        <v>2024</v>
      </c>
      <c r="F676" s="27">
        <v>3000</v>
      </c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37">
        <f>SUM(G676:R676)</f>
        <v>0</v>
      </c>
      <c r="T676" s="22">
        <f>SUM(F676*IF(E676=_current_year,_current_month,12)-(S676))</f>
        <v>36000</v>
      </c>
      <c r="Z676" t="s">
        <v>179</v>
      </c>
    </row>
    <row r="677" spans="1:39" ht="51.75" customHeight="1" x14ac:dyDescent="0.25">
      <c r="A677" s="282"/>
      <c r="B677" s="17"/>
      <c r="C677" s="271" t="s">
        <v>180</v>
      </c>
      <c r="D677" s="84"/>
      <c r="E677" s="30">
        <v>2023</v>
      </c>
      <c r="F677" s="27">
        <v>3000</v>
      </c>
      <c r="G677" s="22"/>
      <c r="H677" s="22"/>
      <c r="I677" s="22"/>
      <c r="J677" s="22">
        <v>36000</v>
      </c>
      <c r="K677" s="22"/>
      <c r="L677" s="22"/>
      <c r="M677" s="22"/>
      <c r="N677" s="22"/>
      <c r="O677" s="22"/>
      <c r="P677" s="22"/>
      <c r="Q677" s="22"/>
      <c r="R677" s="22"/>
      <c r="S677" s="37">
        <f>SUM(G677:R677)</f>
        <v>36000</v>
      </c>
      <c r="T677" s="22">
        <f>SUM(F677*IF(E677=_current_year,_current_month,12)-(S677))</f>
        <v>0</v>
      </c>
    </row>
    <row r="678" spans="1:39" s="220" customFormat="1" ht="48" customHeight="1" x14ac:dyDescent="0.4">
      <c r="A678" s="282"/>
      <c r="B678" s="33" t="s">
        <v>28</v>
      </c>
      <c r="C678" s="272" t="s">
        <v>171</v>
      </c>
      <c r="D678" s="35"/>
      <c r="E678" s="283">
        <v>2022</v>
      </c>
      <c r="F678" s="284">
        <v>3000</v>
      </c>
      <c r="G678" s="104"/>
      <c r="H678" s="104"/>
      <c r="I678" s="104"/>
      <c r="J678" s="104"/>
      <c r="K678" s="104"/>
      <c r="L678" s="104"/>
      <c r="M678" s="104"/>
      <c r="N678" s="104"/>
      <c r="O678" s="104"/>
      <c r="P678" s="60"/>
      <c r="Q678" s="36"/>
      <c r="R678" s="36"/>
      <c r="S678" s="37">
        <f>SUM(G678:R678)</f>
        <v>0</v>
      </c>
      <c r="T678" s="22">
        <f>SUM(F678*5)-(S678)</f>
        <v>15000</v>
      </c>
      <c r="AM678" s="250"/>
    </row>
    <row r="679" spans="1:39" s="220" customFormat="1" ht="58.5" customHeight="1" x14ac:dyDescent="0.75">
      <c r="A679" s="285"/>
      <c r="B679" s="33" t="s">
        <v>28</v>
      </c>
      <c r="C679" s="38" t="s">
        <v>52</v>
      </c>
      <c r="D679" s="38"/>
      <c r="E679" s="104" t="s">
        <v>181</v>
      </c>
      <c r="F679" s="104"/>
      <c r="G679" s="104"/>
      <c r="H679" s="104"/>
      <c r="I679" s="104"/>
      <c r="J679" s="104"/>
      <c r="K679" s="104"/>
      <c r="L679" s="104"/>
      <c r="M679" s="104"/>
      <c r="N679" s="104"/>
      <c r="O679" s="104"/>
      <c r="P679" s="104"/>
      <c r="Q679" s="104"/>
      <c r="R679" s="104"/>
      <c r="S679" s="275"/>
      <c r="T679" s="275"/>
      <c r="AM679" s="250"/>
    </row>
    <row r="680" spans="1:39" s="258" customFormat="1" ht="71.25" customHeight="1" x14ac:dyDescent="0.45">
      <c r="A680" s="41" t="s">
        <v>167</v>
      </c>
      <c r="B680" s="253" t="s">
        <v>28</v>
      </c>
      <c r="C680" s="38"/>
      <c r="D680" s="38"/>
      <c r="E680" s="104" t="s">
        <v>182</v>
      </c>
      <c r="F680" s="276"/>
      <c r="G680" s="276"/>
      <c r="H680" s="276"/>
      <c r="I680" s="276"/>
      <c r="J680" s="276"/>
      <c r="K680" s="276"/>
      <c r="L680" s="276"/>
      <c r="M680" s="276"/>
      <c r="N680" s="276"/>
      <c r="O680" s="276"/>
      <c r="P680" s="276"/>
      <c r="Q680" s="276"/>
      <c r="R680" s="276"/>
      <c r="S680" s="275"/>
      <c r="T680" s="286"/>
      <c r="AM680" s="259"/>
    </row>
    <row r="681" spans="1:39" s="258" customFormat="1" ht="52.5" customHeight="1" x14ac:dyDescent="0.45">
      <c r="A681" s="41"/>
      <c r="B681" s="253"/>
      <c r="C681" s="38"/>
      <c r="D681" s="38"/>
      <c r="E681" s="276"/>
      <c r="F681" s="276"/>
      <c r="G681" s="276"/>
      <c r="H681" s="276"/>
      <c r="I681" s="276"/>
      <c r="J681" s="276"/>
      <c r="K681" s="276"/>
      <c r="L681" s="276"/>
      <c r="M681" s="276"/>
      <c r="N681" s="276"/>
      <c r="O681" s="276"/>
      <c r="P681" s="276"/>
      <c r="Q681" s="276"/>
      <c r="R681" s="276"/>
      <c r="S681" s="281"/>
      <c r="T681" s="277"/>
      <c r="AM681" s="259"/>
    </row>
    <row r="682" spans="1:39" s="238" customFormat="1" ht="52.5" customHeight="1" thickBot="1" x14ac:dyDescent="0.45">
      <c r="A682" s="234"/>
      <c r="B682" s="234"/>
      <c r="C682" s="235"/>
      <c r="D682" s="236"/>
      <c r="E682" s="264"/>
      <c r="F682" s="265"/>
      <c r="G682" s="266"/>
      <c r="H682" s="266"/>
      <c r="I682" s="266"/>
      <c r="J682" s="266"/>
      <c r="K682" s="266"/>
      <c r="L682" s="266"/>
      <c r="M682" s="266"/>
      <c r="N682" s="266"/>
      <c r="O682" s="266"/>
      <c r="P682" s="266"/>
      <c r="Q682" s="266"/>
      <c r="R682" s="266"/>
      <c r="S682" s="267">
        <f>SUM(S675:S681)</f>
        <v>132000</v>
      </c>
      <c r="T682" s="268">
        <f>SUM(T675:T681)</f>
        <v>15000</v>
      </c>
      <c r="AM682" s="239"/>
    </row>
    <row r="683" spans="1:39" s="258" customFormat="1" ht="65.25" customHeight="1" x14ac:dyDescent="0.45">
      <c r="A683" s="278"/>
      <c r="B683" s="253"/>
      <c r="C683" s="253"/>
      <c r="D683" s="68"/>
      <c r="E683" s="253"/>
      <c r="F683" s="253"/>
      <c r="G683" s="253"/>
      <c r="H683" s="253"/>
      <c r="I683" s="253"/>
      <c r="J683" s="253"/>
      <c r="K683" s="253"/>
      <c r="L683" s="253"/>
      <c r="M683" s="253"/>
      <c r="N683" s="253"/>
      <c r="O683" s="253"/>
      <c r="P683" s="253"/>
      <c r="Q683" s="253"/>
      <c r="R683" s="253"/>
      <c r="S683" s="269"/>
      <c r="T683" s="269"/>
      <c r="AM683" s="259"/>
    </row>
    <row r="684" spans="1:39" s="258" customFormat="1" ht="32.25" customHeight="1" x14ac:dyDescent="0.45">
      <c r="A684" s="278"/>
      <c r="B684" s="253"/>
      <c r="C684" s="253"/>
      <c r="D684" s="68"/>
      <c r="E684" s="253"/>
      <c r="F684" s="253"/>
      <c r="G684" s="253"/>
      <c r="H684" s="253"/>
      <c r="I684" s="253"/>
      <c r="J684" s="253"/>
      <c r="K684" s="253"/>
      <c r="L684" s="253"/>
      <c r="M684" s="253"/>
      <c r="N684" s="253"/>
      <c r="O684" s="253"/>
      <c r="P684" s="253"/>
      <c r="Q684" s="253"/>
      <c r="R684" s="253"/>
      <c r="S684" s="269"/>
      <c r="T684" s="269"/>
      <c r="AM684" s="259"/>
    </row>
    <row r="685" spans="1:39" s="245" customFormat="1" ht="58.5" customHeight="1" x14ac:dyDescent="0.5">
      <c r="A685" s="55" t="s">
        <v>31</v>
      </c>
      <c r="B685" s="241" t="s">
        <v>7</v>
      </c>
      <c r="C685" s="242" t="s">
        <v>32</v>
      </c>
      <c r="D685" s="243" t="s">
        <v>33</v>
      </c>
      <c r="E685" s="242" t="s">
        <v>34</v>
      </c>
      <c r="F685" s="244" t="s">
        <v>11</v>
      </c>
      <c r="G685" s="244" t="s">
        <v>12</v>
      </c>
      <c r="H685" s="244" t="s">
        <v>13</v>
      </c>
      <c r="I685" s="244" t="s">
        <v>14</v>
      </c>
      <c r="J685" s="244" t="s">
        <v>15</v>
      </c>
      <c r="K685" s="244" t="s">
        <v>16</v>
      </c>
      <c r="L685" s="244" t="s">
        <v>17</v>
      </c>
      <c r="M685" s="244" t="s">
        <v>18</v>
      </c>
      <c r="N685" s="244" t="s">
        <v>19</v>
      </c>
      <c r="O685" s="244" t="s">
        <v>20</v>
      </c>
      <c r="P685" s="244" t="s">
        <v>21</v>
      </c>
      <c r="Q685" s="244" t="s">
        <v>22</v>
      </c>
      <c r="R685" s="244" t="s">
        <v>23</v>
      </c>
      <c r="S685" s="20" t="s">
        <v>24</v>
      </c>
      <c r="T685" s="20" t="s">
        <v>25</v>
      </c>
      <c r="AM685" s="246"/>
    </row>
    <row r="686" spans="1:39" ht="51.75" customHeight="1" x14ac:dyDescent="0.6">
      <c r="A686" s="288" t="s">
        <v>183</v>
      </c>
      <c r="B686" s="17"/>
      <c r="C686" s="279" t="s">
        <v>184</v>
      </c>
      <c r="D686" s="84"/>
      <c r="E686" s="26">
        <v>2025</v>
      </c>
      <c r="F686" s="27"/>
      <c r="G686" s="22"/>
      <c r="H686" s="22"/>
      <c r="I686" s="22"/>
      <c r="J686" s="22"/>
      <c r="K686" s="22"/>
      <c r="L686" s="22"/>
      <c r="M686" s="189"/>
      <c r="N686" s="153"/>
      <c r="O686" s="22"/>
      <c r="P686" s="22"/>
      <c r="Q686" s="22"/>
      <c r="R686" s="22"/>
      <c r="S686" s="64">
        <f>SUM(G686:R686)</f>
        <v>0</v>
      </c>
      <c r="T686" s="29">
        <f>SUM(F686*IF(E686=_current_year,_current_month,12)-(S686))</f>
        <v>0</v>
      </c>
    </row>
    <row r="687" spans="1:39" ht="51.75" customHeight="1" x14ac:dyDescent="0.25">
      <c r="A687" s="288"/>
      <c r="B687" s="17"/>
      <c r="C687" s="287"/>
      <c r="D687" s="84"/>
      <c r="E687" s="30"/>
      <c r="F687" s="27"/>
      <c r="G687" s="289" t="s">
        <v>185</v>
      </c>
      <c r="H687" s="290"/>
      <c r="I687" s="290"/>
      <c r="J687" s="290"/>
      <c r="K687" s="290"/>
      <c r="L687" s="290"/>
      <c r="M687" s="290"/>
      <c r="N687" s="290"/>
      <c r="O687" s="290"/>
      <c r="P687" s="290"/>
      <c r="Q687" s="290"/>
      <c r="R687" s="291"/>
      <c r="S687" s="292">
        <v>2000000</v>
      </c>
      <c r="T687" s="293">
        <f>SUM(2000000-(S687))</f>
        <v>0</v>
      </c>
    </row>
    <row r="688" spans="1:39" ht="51.75" customHeight="1" x14ac:dyDescent="0.25">
      <c r="A688" s="288"/>
      <c r="B688" s="17"/>
      <c r="C688" s="294"/>
      <c r="D688" s="84"/>
      <c r="E688" s="295"/>
      <c r="F688" s="296"/>
      <c r="G688" s="296"/>
      <c r="H688" s="296"/>
      <c r="I688" s="296"/>
      <c r="J688" s="296"/>
      <c r="K688" s="296"/>
      <c r="L688" s="296"/>
      <c r="M688" s="296"/>
      <c r="N688" s="296"/>
      <c r="O688" s="296"/>
      <c r="P688" s="296"/>
      <c r="Q688" s="296"/>
      <c r="R688" s="296"/>
      <c r="S688" s="296"/>
      <c r="T688" s="297"/>
    </row>
    <row r="689" spans="1:39" s="220" customFormat="1" ht="58.5" customHeight="1" x14ac:dyDescent="0.75">
      <c r="A689" s="285"/>
      <c r="B689" s="33" t="s">
        <v>28</v>
      </c>
      <c r="C689" s="38" t="s">
        <v>52</v>
      </c>
      <c r="D689" s="38"/>
      <c r="E689" s="298" t="s">
        <v>186</v>
      </c>
      <c r="F689" s="299"/>
      <c r="G689" s="299"/>
      <c r="H689" s="299"/>
      <c r="I689" s="299"/>
      <c r="J689" s="299"/>
      <c r="K689" s="299"/>
      <c r="L689" s="299"/>
      <c r="M689" s="299"/>
      <c r="N689" s="299"/>
      <c r="O689" s="299"/>
      <c r="P689" s="299"/>
      <c r="Q689" s="299"/>
      <c r="R689" s="299"/>
      <c r="S689" s="275"/>
      <c r="T689" s="275"/>
      <c r="AM689" s="250"/>
    </row>
    <row r="690" spans="1:39" s="258" customFormat="1" ht="71.25" customHeight="1" x14ac:dyDescent="0.45">
      <c r="A690" s="41" t="s">
        <v>167</v>
      </c>
      <c r="B690" s="253" t="s">
        <v>28</v>
      </c>
      <c r="C690" s="38"/>
      <c r="D690" s="38"/>
      <c r="E690" s="299"/>
      <c r="F690" s="299"/>
      <c r="G690" s="299"/>
      <c r="H690" s="299"/>
      <c r="I690" s="299"/>
      <c r="J690" s="299"/>
      <c r="K690" s="299"/>
      <c r="L690" s="299"/>
      <c r="M690" s="299"/>
      <c r="N690" s="299"/>
      <c r="O690" s="299"/>
      <c r="P690" s="299"/>
      <c r="Q690" s="299"/>
      <c r="R690" s="299"/>
      <c r="S690" s="275"/>
      <c r="T690" s="286"/>
      <c r="AM690" s="259"/>
    </row>
    <row r="691" spans="1:39" s="258" customFormat="1" ht="52.5" customHeight="1" x14ac:dyDescent="0.45">
      <c r="A691" s="41"/>
      <c r="B691" s="253"/>
      <c r="C691" s="38"/>
      <c r="D691" s="38"/>
      <c r="E691" s="299"/>
      <c r="F691" s="299"/>
      <c r="G691" s="299"/>
      <c r="H691" s="299"/>
      <c r="I691" s="299"/>
      <c r="J691" s="299"/>
      <c r="K691" s="299"/>
      <c r="L691" s="299"/>
      <c r="M691" s="299"/>
      <c r="N691" s="299"/>
      <c r="O691" s="299"/>
      <c r="P691" s="299"/>
      <c r="Q691" s="299"/>
      <c r="R691" s="299"/>
      <c r="S691" s="281"/>
      <c r="T691" s="277"/>
      <c r="AM691" s="259"/>
    </row>
    <row r="692" spans="1:39" s="238" customFormat="1" ht="52.5" customHeight="1" thickBot="1" x14ac:dyDescent="0.45">
      <c r="A692" s="234"/>
      <c r="B692" s="234"/>
      <c r="C692" s="235"/>
      <c r="D692" s="236"/>
      <c r="E692" s="264"/>
      <c r="F692" s="265"/>
      <c r="G692" s="266"/>
      <c r="H692" s="266"/>
      <c r="I692" s="266"/>
      <c r="J692" s="266"/>
      <c r="K692" s="266"/>
      <c r="L692" s="266"/>
      <c r="M692" s="266"/>
      <c r="N692" s="266"/>
      <c r="O692" s="266"/>
      <c r="P692" s="266"/>
      <c r="Q692" s="266"/>
      <c r="R692" s="266"/>
      <c r="S692" s="267">
        <f>SUM(S686:S691)</f>
        <v>2000000</v>
      </c>
      <c r="T692" s="268">
        <f>SUM(T686:T691)</f>
        <v>0</v>
      </c>
      <c r="AM692" s="239"/>
    </row>
    <row r="693" spans="1:39" s="258" customFormat="1" ht="65.25" customHeight="1" x14ac:dyDescent="0.45">
      <c r="A693" s="278"/>
      <c r="B693" s="253"/>
      <c r="C693" s="253"/>
      <c r="D693" s="68"/>
      <c r="E693" s="253"/>
      <c r="F693" s="253"/>
      <c r="G693" s="253"/>
      <c r="H693" s="253"/>
      <c r="I693" s="253"/>
      <c r="J693" s="253"/>
      <c r="K693" s="253"/>
      <c r="L693" s="253"/>
      <c r="M693" s="253"/>
      <c r="N693" s="253"/>
      <c r="O693" s="253"/>
      <c r="P693" s="253"/>
      <c r="Q693" s="253"/>
      <c r="R693" s="253"/>
      <c r="S693" s="269"/>
      <c r="T693" s="269"/>
      <c r="AM693" s="259"/>
    </row>
    <row r="694" spans="1:39" s="245" customFormat="1" ht="58.5" customHeight="1" x14ac:dyDescent="0.5">
      <c r="A694" s="55" t="s">
        <v>31</v>
      </c>
      <c r="B694" s="241" t="s">
        <v>7</v>
      </c>
      <c r="C694" s="242" t="s">
        <v>32</v>
      </c>
      <c r="D694" s="243" t="s">
        <v>33</v>
      </c>
      <c r="E694" s="242" t="s">
        <v>34</v>
      </c>
      <c r="F694" s="244" t="s">
        <v>11</v>
      </c>
      <c r="G694" s="244" t="s">
        <v>12</v>
      </c>
      <c r="H694" s="244" t="s">
        <v>13</v>
      </c>
      <c r="I694" s="244" t="s">
        <v>14</v>
      </c>
      <c r="J694" s="244" t="s">
        <v>15</v>
      </c>
      <c r="K694" s="244" t="s">
        <v>16</v>
      </c>
      <c r="L694" s="244" t="s">
        <v>17</v>
      </c>
      <c r="M694" s="244" t="s">
        <v>18</v>
      </c>
      <c r="N694" s="244" t="s">
        <v>19</v>
      </c>
      <c r="O694" s="244" t="s">
        <v>20</v>
      </c>
      <c r="P694" s="244" t="s">
        <v>21</v>
      </c>
      <c r="Q694" s="244" t="s">
        <v>22</v>
      </c>
      <c r="R694" s="244" t="s">
        <v>23</v>
      </c>
      <c r="S694" s="20" t="s">
        <v>24</v>
      </c>
      <c r="T694" s="20" t="s">
        <v>25</v>
      </c>
      <c r="AM694" s="246"/>
    </row>
    <row r="695" spans="1:39" ht="51.75" customHeight="1" x14ac:dyDescent="0.6">
      <c r="A695" s="282" t="s">
        <v>187</v>
      </c>
      <c r="B695" s="17"/>
      <c r="C695" s="271" t="s">
        <v>188</v>
      </c>
      <c r="D695" s="84"/>
      <c r="E695" s="26">
        <v>2025</v>
      </c>
      <c r="F695" s="27">
        <v>5000</v>
      </c>
      <c r="G695" s="22">
        <v>15000</v>
      </c>
      <c r="H695" s="22"/>
      <c r="I695" s="22"/>
      <c r="J695" s="22"/>
      <c r="K695" s="22"/>
      <c r="L695" s="22"/>
      <c r="M695" s="189"/>
      <c r="N695" s="22">
        <v>22000</v>
      </c>
      <c r="O695" s="22"/>
      <c r="P695" s="22"/>
      <c r="Q695" s="22"/>
      <c r="R695" s="22"/>
      <c r="S695" s="64">
        <f>SUM(G695:R695)</f>
        <v>37000</v>
      </c>
      <c r="T695" s="29">
        <f>SUM(F695*IF(E695=_current_year,_current_month,12)-(S695))</f>
        <v>23000</v>
      </c>
    </row>
    <row r="696" spans="1:39" ht="51.75" customHeight="1" x14ac:dyDescent="0.6">
      <c r="A696" s="282"/>
      <c r="B696" s="17"/>
      <c r="C696" s="294"/>
      <c r="D696" s="84"/>
      <c r="E696" s="30">
        <v>2024</v>
      </c>
      <c r="F696" s="27">
        <v>3000</v>
      </c>
      <c r="G696" s="22"/>
      <c r="H696" s="22"/>
      <c r="I696" s="22"/>
      <c r="J696" s="22"/>
      <c r="K696" s="22"/>
      <c r="L696" s="22"/>
      <c r="M696" s="189"/>
      <c r="N696" s="22">
        <v>10000</v>
      </c>
      <c r="O696" s="22"/>
      <c r="P696" s="22"/>
      <c r="Q696" s="22"/>
      <c r="R696" s="22"/>
      <c r="S696" s="64">
        <f>SUM(G696:R696)</f>
        <v>10000</v>
      </c>
      <c r="T696" s="29">
        <f>SUM(F696*IF(E696=_current_year,_current_month,12)-(S696))</f>
        <v>26000</v>
      </c>
    </row>
    <row r="697" spans="1:39" ht="51.75" customHeight="1" x14ac:dyDescent="0.25">
      <c r="A697" s="282"/>
      <c r="B697" s="17"/>
      <c r="C697" s="294"/>
      <c r="D697" s="84"/>
      <c r="E697" s="30">
        <v>2023</v>
      </c>
      <c r="F697" s="27">
        <v>3000</v>
      </c>
      <c r="G697" s="22"/>
      <c r="H697" s="22"/>
      <c r="I697" s="22"/>
      <c r="J697" s="22"/>
      <c r="K697" s="22"/>
      <c r="L697" s="22"/>
      <c r="M697" s="60"/>
      <c r="N697" s="22">
        <v>36000</v>
      </c>
      <c r="O697" s="22"/>
      <c r="P697" s="22"/>
      <c r="Q697" s="22"/>
      <c r="R697" s="22"/>
      <c r="S697" s="37">
        <f>SUM(G697:R697)</f>
        <v>36000</v>
      </c>
      <c r="T697" s="22">
        <f>SUM(F697*4-(S697))</f>
        <v>-24000</v>
      </c>
    </row>
    <row r="698" spans="1:39" s="220" customFormat="1" ht="58.5" customHeight="1" x14ac:dyDescent="0.75">
      <c r="A698" s="285"/>
      <c r="B698" s="33" t="s">
        <v>28</v>
      </c>
      <c r="C698" s="38" t="s">
        <v>52</v>
      </c>
      <c r="D698" s="38"/>
      <c r="E698" s="104"/>
      <c r="F698" s="104"/>
      <c r="G698" s="104"/>
      <c r="H698" s="104"/>
      <c r="I698" s="104"/>
      <c r="J698" s="104"/>
      <c r="K698" s="104"/>
      <c r="L698" s="104"/>
      <c r="M698" s="104"/>
      <c r="N698" s="104"/>
      <c r="O698" s="104"/>
      <c r="P698" s="104"/>
      <c r="Q698" s="104"/>
      <c r="R698" s="104"/>
      <c r="S698" s="275"/>
      <c r="T698" s="275"/>
      <c r="AM698" s="250"/>
    </row>
    <row r="699" spans="1:39" s="258" customFormat="1" ht="71.25" customHeight="1" x14ac:dyDescent="0.45">
      <c r="A699" s="41" t="s">
        <v>167</v>
      </c>
      <c r="B699" s="253" t="s">
        <v>28</v>
      </c>
      <c r="C699" s="38"/>
      <c r="D699" s="38"/>
      <c r="E699" s="104"/>
      <c r="F699" s="276"/>
      <c r="G699" s="276"/>
      <c r="H699" s="276"/>
      <c r="I699" s="276"/>
      <c r="J699" s="276"/>
      <c r="K699" s="276"/>
      <c r="L699" s="276"/>
      <c r="M699" s="276"/>
      <c r="N699" s="276"/>
      <c r="O699" s="276"/>
      <c r="P699" s="276"/>
      <c r="Q699" s="276"/>
      <c r="R699" s="276"/>
      <c r="S699" s="275"/>
      <c r="T699" s="286"/>
      <c r="AM699" s="259"/>
    </row>
    <row r="700" spans="1:39" s="258" customFormat="1" ht="52.5" customHeight="1" x14ac:dyDescent="0.45">
      <c r="A700" s="41"/>
      <c r="B700" s="253"/>
      <c r="C700" s="38"/>
      <c r="D700" s="38"/>
      <c r="E700" s="276"/>
      <c r="F700" s="276"/>
      <c r="G700" s="276"/>
      <c r="H700" s="276"/>
      <c r="I700" s="276"/>
      <c r="J700" s="276"/>
      <c r="K700" s="276"/>
      <c r="L700" s="276"/>
      <c r="M700" s="276"/>
      <c r="N700" s="276"/>
      <c r="O700" s="276"/>
      <c r="P700" s="276"/>
      <c r="Q700" s="276"/>
      <c r="R700" s="276"/>
      <c r="S700" s="281"/>
      <c r="T700" s="277"/>
      <c r="AM700" s="259"/>
    </row>
    <row r="701" spans="1:39" s="238" customFormat="1" ht="52.5" customHeight="1" thickBot="1" x14ac:dyDescent="0.45">
      <c r="A701" s="234"/>
      <c r="B701" s="234"/>
      <c r="C701" s="235"/>
      <c r="D701" s="236"/>
      <c r="E701" s="264"/>
      <c r="F701" s="265"/>
      <c r="G701" s="266"/>
      <c r="H701" s="266"/>
      <c r="I701" s="266"/>
      <c r="J701" s="266"/>
      <c r="K701" s="266"/>
      <c r="L701" s="266"/>
      <c r="M701" s="266"/>
      <c r="N701" s="266"/>
      <c r="O701" s="266"/>
      <c r="P701" s="266"/>
      <c r="Q701" s="266"/>
      <c r="R701" s="266"/>
      <c r="S701" s="267">
        <f>SUM(S695:S700)</f>
        <v>83000</v>
      </c>
      <c r="T701" s="268">
        <f>SUM(T695:T700)</f>
        <v>25000</v>
      </c>
      <c r="AM701" s="239"/>
    </row>
    <row r="702" spans="1:39" s="258" customFormat="1" ht="65.25" customHeight="1" x14ac:dyDescent="0.45">
      <c r="A702" s="278"/>
      <c r="B702" s="253"/>
      <c r="C702" s="253"/>
      <c r="D702" s="68"/>
      <c r="E702" s="253"/>
      <c r="F702" s="253"/>
      <c r="G702" s="253"/>
      <c r="H702" s="253"/>
      <c r="I702" s="253"/>
      <c r="J702" s="253"/>
      <c r="K702" s="253"/>
      <c r="L702" s="253"/>
      <c r="M702" s="253"/>
      <c r="N702" s="253"/>
      <c r="O702" s="253"/>
      <c r="P702" s="253"/>
      <c r="Q702" s="253"/>
      <c r="R702" s="253"/>
      <c r="S702" s="269"/>
      <c r="T702" s="269"/>
      <c r="AM702" s="259"/>
    </row>
    <row r="703" spans="1:39" s="245" customFormat="1" ht="65.25" customHeight="1" x14ac:dyDescent="0.5">
      <c r="A703" s="55" t="s">
        <v>31</v>
      </c>
      <c r="B703" s="241" t="s">
        <v>7</v>
      </c>
      <c r="C703" s="242" t="s">
        <v>32</v>
      </c>
      <c r="D703" s="243" t="s">
        <v>33</v>
      </c>
      <c r="E703" s="242" t="s">
        <v>34</v>
      </c>
      <c r="F703" s="244" t="s">
        <v>11</v>
      </c>
      <c r="G703" s="244" t="s">
        <v>12</v>
      </c>
      <c r="H703" s="244" t="s">
        <v>13</v>
      </c>
      <c r="I703" s="244" t="s">
        <v>14</v>
      </c>
      <c r="J703" s="244" t="s">
        <v>15</v>
      </c>
      <c r="K703" s="244" t="s">
        <v>16</v>
      </c>
      <c r="L703" s="244" t="s">
        <v>17</v>
      </c>
      <c r="M703" s="244" t="s">
        <v>18</v>
      </c>
      <c r="N703" s="244" t="s">
        <v>19</v>
      </c>
      <c r="O703" s="244" t="s">
        <v>20</v>
      </c>
      <c r="P703" s="244" t="s">
        <v>21</v>
      </c>
      <c r="Q703" s="244" t="s">
        <v>22</v>
      </c>
      <c r="R703" s="244" t="s">
        <v>23</v>
      </c>
      <c r="S703" s="20" t="s">
        <v>24</v>
      </c>
      <c r="T703" s="20" t="s">
        <v>25</v>
      </c>
      <c r="AM703" s="246"/>
    </row>
    <row r="704" spans="1:39" ht="51.6" customHeight="1" x14ac:dyDescent="0.25">
      <c r="A704" s="248">
        <v>5</v>
      </c>
      <c r="B704" s="17"/>
      <c r="C704" s="279" t="s">
        <v>189</v>
      </c>
      <c r="D704" s="19"/>
      <c r="E704" s="26">
        <v>2025</v>
      </c>
      <c r="F704" s="27">
        <v>10000</v>
      </c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64">
        <f>SUM(G704:R704)</f>
        <v>0</v>
      </c>
      <c r="T704" s="29">
        <f>SUM(F704*IF(E704=_current_year,_current_month,12)-(S704))</f>
        <v>120000</v>
      </c>
    </row>
    <row r="705" spans="1:39" ht="51.6" customHeight="1" x14ac:dyDescent="0.25">
      <c r="A705" s="248"/>
      <c r="B705" s="17"/>
      <c r="C705" s="279"/>
      <c r="D705" s="19"/>
      <c r="E705" s="30">
        <v>2024</v>
      </c>
      <c r="F705" s="27">
        <v>5000</v>
      </c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37">
        <f>SUM(G705:R705)</f>
        <v>0</v>
      </c>
      <c r="T705" s="22">
        <f>SUM(F705*IF(E705=_current_year,_current_month,12)-(S705))</f>
        <v>60000</v>
      </c>
    </row>
    <row r="706" spans="1:39" ht="51.6" customHeight="1" x14ac:dyDescent="0.25">
      <c r="A706" s="248"/>
      <c r="B706" s="17"/>
      <c r="C706" s="279"/>
      <c r="D706" s="19"/>
      <c r="E706" s="30">
        <v>2023</v>
      </c>
      <c r="F706" s="27">
        <v>5000</v>
      </c>
      <c r="G706" s="22">
        <v>100000</v>
      </c>
      <c r="H706" s="22"/>
      <c r="I706" s="22"/>
      <c r="J706" s="22"/>
      <c r="K706" s="22">
        <v>50000</v>
      </c>
      <c r="L706" s="22"/>
      <c r="M706" s="22"/>
      <c r="N706" s="22"/>
      <c r="O706" s="22"/>
      <c r="P706" s="22"/>
      <c r="Q706" s="22"/>
      <c r="R706" s="22"/>
      <c r="S706" s="37">
        <f>SUM(G706:R706)</f>
        <v>150000</v>
      </c>
      <c r="T706" s="22">
        <f>SUM(F706*IF(E706=_current_year,_current_month,12)-(S706))</f>
        <v>-90000</v>
      </c>
    </row>
    <row r="707" spans="1:39" s="220" customFormat="1" ht="48" customHeight="1" x14ac:dyDescent="0.4">
      <c r="A707" s="248"/>
      <c r="B707" s="33" t="s">
        <v>28</v>
      </c>
      <c r="C707" s="85" t="s">
        <v>190</v>
      </c>
      <c r="D707" s="35"/>
      <c r="E707" s="30">
        <v>2022</v>
      </c>
      <c r="F707" s="27">
        <v>5000</v>
      </c>
      <c r="G707" s="36"/>
      <c r="H707" s="36" t="s">
        <v>59</v>
      </c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7">
        <f>SUM(G707:R707)</f>
        <v>0</v>
      </c>
      <c r="T707" s="37">
        <f>SUM(60000-S707)</f>
        <v>60000</v>
      </c>
      <c r="AM707" s="250"/>
    </row>
    <row r="708" spans="1:39" s="220" customFormat="1" ht="44.25" customHeight="1" x14ac:dyDescent="0.4">
      <c r="A708" s="41" t="s">
        <v>167</v>
      </c>
      <c r="B708" s="33" t="s">
        <v>28</v>
      </c>
      <c r="C708" s="38" t="s">
        <v>52</v>
      </c>
      <c r="D708" s="38"/>
      <c r="E708" s="90"/>
      <c r="F708" s="91"/>
      <c r="G708" s="91"/>
      <c r="H708" s="91"/>
      <c r="I708" s="91"/>
      <c r="J708" s="91"/>
      <c r="K708" s="91"/>
      <c r="L708" s="91"/>
      <c r="M708" s="91"/>
      <c r="N708" s="91"/>
      <c r="O708" s="91"/>
      <c r="P708" s="91"/>
      <c r="Q708" s="91"/>
      <c r="R708" s="91"/>
      <c r="S708" s="91"/>
      <c r="T708" s="137"/>
      <c r="AM708" s="250"/>
    </row>
    <row r="709" spans="1:39" s="258" customFormat="1" ht="52.5" customHeight="1" x14ac:dyDescent="0.45">
      <c r="A709" s="41"/>
      <c r="B709" s="253" t="s">
        <v>28</v>
      </c>
      <c r="C709" s="38"/>
      <c r="D709" s="38"/>
      <c r="E709" s="111"/>
      <c r="F709" s="92"/>
      <c r="G709" s="92"/>
      <c r="H709" s="92"/>
      <c r="I709" s="92"/>
      <c r="J709" s="92"/>
      <c r="K709" s="92"/>
      <c r="L709" s="92"/>
      <c r="M709" s="92"/>
      <c r="N709" s="92"/>
      <c r="O709" s="92"/>
      <c r="P709" s="92"/>
      <c r="Q709" s="92"/>
      <c r="R709" s="92"/>
      <c r="S709" s="92"/>
      <c r="T709" s="112"/>
      <c r="AM709" s="259"/>
    </row>
    <row r="710" spans="1:39" s="258" customFormat="1" ht="44.25" customHeight="1" x14ac:dyDescent="0.45">
      <c r="A710" s="300"/>
      <c r="B710" s="253"/>
      <c r="C710" s="38"/>
      <c r="D710" s="38"/>
      <c r="E710" s="111"/>
      <c r="F710" s="92"/>
      <c r="G710" s="92"/>
      <c r="H710" s="92"/>
      <c r="I710" s="92"/>
      <c r="J710" s="92"/>
      <c r="K710" s="92"/>
      <c r="L710" s="92"/>
      <c r="M710" s="92"/>
      <c r="N710" s="92"/>
      <c r="O710" s="92"/>
      <c r="P710" s="92"/>
      <c r="Q710" s="92"/>
      <c r="R710" s="92"/>
      <c r="S710" s="114"/>
      <c r="T710" s="115"/>
      <c r="AM710" s="259"/>
    </row>
    <row r="711" spans="1:39" s="258" customFormat="1" ht="44.25" customHeight="1" thickBot="1" x14ac:dyDescent="0.5">
      <c r="A711" s="253"/>
      <c r="B711" s="253"/>
      <c r="C711" s="301" t="s">
        <v>191</v>
      </c>
      <c r="D711" s="301"/>
      <c r="E711" s="301"/>
      <c r="F711" s="301"/>
      <c r="G711" s="301"/>
      <c r="H711" s="301"/>
      <c r="I711" s="301"/>
      <c r="J711" s="301"/>
      <c r="K711" s="301"/>
      <c r="L711" s="301"/>
      <c r="M711" s="301"/>
      <c r="N711" s="301"/>
      <c r="O711" s="301"/>
      <c r="P711" s="301"/>
      <c r="Q711" s="301"/>
      <c r="R711" s="301"/>
      <c r="S711" s="267">
        <f>SUM(S704:S710)</f>
        <v>150000</v>
      </c>
      <c r="T711" s="268">
        <f>SUM(T704:T710)</f>
        <v>150000</v>
      </c>
      <c r="AM711" s="259"/>
    </row>
    <row r="712" spans="1:39" s="258" customFormat="1" ht="44.25" customHeight="1" thickTop="1" x14ac:dyDescent="0.45">
      <c r="A712" s="253"/>
      <c r="B712" s="253"/>
      <c r="C712" s="253"/>
      <c r="D712" s="68"/>
      <c r="E712" s="253"/>
      <c r="F712" s="253"/>
      <c r="G712" s="253"/>
      <c r="H712" s="253"/>
      <c r="I712" s="253"/>
      <c r="J712" s="253"/>
      <c r="K712" s="253"/>
      <c r="L712" s="253"/>
      <c r="M712" s="253"/>
      <c r="N712" s="253"/>
      <c r="O712" s="253"/>
      <c r="P712" s="253"/>
      <c r="Q712" s="253"/>
      <c r="R712" s="253"/>
      <c r="S712" s="269"/>
      <c r="T712" s="269"/>
      <c r="AM712" s="259"/>
    </row>
    <row r="713" spans="1:39" s="245" customFormat="1" ht="65.25" customHeight="1" x14ac:dyDescent="0.5">
      <c r="A713" s="55" t="s">
        <v>31</v>
      </c>
      <c r="B713" s="241" t="s">
        <v>7</v>
      </c>
      <c r="C713" s="242" t="s">
        <v>32</v>
      </c>
      <c r="D713" s="243" t="s">
        <v>33</v>
      </c>
      <c r="E713" s="242" t="s">
        <v>34</v>
      </c>
      <c r="F713" s="244" t="s">
        <v>11</v>
      </c>
      <c r="G713" s="244" t="s">
        <v>12</v>
      </c>
      <c r="H713" s="244" t="s">
        <v>13</v>
      </c>
      <c r="I713" s="244" t="s">
        <v>14</v>
      </c>
      <c r="J713" s="244" t="s">
        <v>15</v>
      </c>
      <c r="K713" s="244" t="s">
        <v>16</v>
      </c>
      <c r="L713" s="244" t="s">
        <v>17</v>
      </c>
      <c r="M713" s="244" t="s">
        <v>18</v>
      </c>
      <c r="N713" s="244" t="s">
        <v>19</v>
      </c>
      <c r="O713" s="244" t="s">
        <v>20</v>
      </c>
      <c r="P713" s="244" t="s">
        <v>21</v>
      </c>
      <c r="Q713" s="244" t="s">
        <v>22</v>
      </c>
      <c r="R713" s="244" t="s">
        <v>23</v>
      </c>
      <c r="S713" s="20" t="s">
        <v>24</v>
      </c>
      <c r="T713" s="20" t="s">
        <v>25</v>
      </c>
      <c r="AM713" s="246"/>
    </row>
    <row r="714" spans="1:39" ht="51.75" customHeight="1" x14ac:dyDescent="0.25">
      <c r="A714" s="248">
        <v>7</v>
      </c>
      <c r="B714" s="17"/>
      <c r="C714" s="279" t="s">
        <v>192</v>
      </c>
      <c r="D714" s="19"/>
      <c r="E714" s="26">
        <v>2025</v>
      </c>
      <c r="F714" s="27">
        <v>10000</v>
      </c>
      <c r="G714" s="22"/>
      <c r="H714" s="22"/>
      <c r="I714" s="22"/>
      <c r="J714" s="22">
        <v>60000</v>
      </c>
      <c r="K714" s="22"/>
      <c r="L714" s="22"/>
      <c r="M714" s="22">
        <v>10000</v>
      </c>
      <c r="N714" s="22"/>
      <c r="O714" s="22"/>
      <c r="P714" s="22"/>
      <c r="Q714" s="22"/>
      <c r="R714" s="22"/>
      <c r="S714" s="64">
        <f>SUM(G714:R714)</f>
        <v>70000</v>
      </c>
      <c r="T714" s="29">
        <f>SUM(F714*IF(E714=_current_year,_current_month,12)-(S714))</f>
        <v>50000</v>
      </c>
    </row>
    <row r="715" spans="1:39" ht="51.75" customHeight="1" x14ac:dyDescent="0.25">
      <c r="A715" s="248"/>
      <c r="B715" s="17"/>
      <c r="C715" s="279"/>
      <c r="D715" s="19"/>
      <c r="E715" s="30">
        <v>2024</v>
      </c>
      <c r="F715" s="27">
        <v>5000</v>
      </c>
      <c r="G715" s="22"/>
      <c r="H715" s="22"/>
      <c r="I715" s="22"/>
      <c r="J715" s="22">
        <v>60000</v>
      </c>
      <c r="K715" s="22"/>
      <c r="L715" s="22"/>
      <c r="M715" s="22"/>
      <c r="N715" s="22"/>
      <c r="O715" s="22"/>
      <c r="P715" s="22"/>
      <c r="Q715" s="22"/>
      <c r="R715" s="22"/>
      <c r="S715" s="37">
        <f>SUM(G715:R715)</f>
        <v>60000</v>
      </c>
      <c r="T715" s="22">
        <f>SUM(F715*IF(E715=_current_year,_current_month,12)-(S715))</f>
        <v>0</v>
      </c>
    </row>
    <row r="716" spans="1:39" ht="51.75" customHeight="1" x14ac:dyDescent="0.25">
      <c r="A716" s="248"/>
      <c r="B716" s="17"/>
      <c r="C716" s="279"/>
      <c r="D716" s="19"/>
      <c r="E716" s="30">
        <v>2023</v>
      </c>
      <c r="F716" s="27">
        <v>5000</v>
      </c>
      <c r="G716" s="22"/>
      <c r="H716" s="22">
        <v>60000</v>
      </c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37">
        <f>SUM(G716:R716)</f>
        <v>60000</v>
      </c>
      <c r="T716" s="22">
        <f>SUM(F716*IF(E716=_current_year,_current_month,12)-(S716))</f>
        <v>0</v>
      </c>
    </row>
    <row r="717" spans="1:39" s="220" customFormat="1" ht="48" customHeight="1" x14ac:dyDescent="0.4">
      <c r="A717" s="248"/>
      <c r="B717" s="33" t="s">
        <v>28</v>
      </c>
      <c r="C717" s="279"/>
      <c r="D717" s="35"/>
      <c r="E717" s="30">
        <v>2022</v>
      </c>
      <c r="F717" s="27">
        <v>5000</v>
      </c>
      <c r="G717" s="36">
        <v>60000</v>
      </c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7">
        <f>SUM(G717:R717)</f>
        <v>60000</v>
      </c>
      <c r="T717" s="37">
        <f>SUM(60000-S717)</f>
        <v>0</v>
      </c>
      <c r="AM717" s="250"/>
    </row>
    <row r="718" spans="1:39" s="220" customFormat="1" ht="48.75" customHeight="1" x14ac:dyDescent="0.4">
      <c r="A718" s="41" t="s">
        <v>167</v>
      </c>
      <c r="B718" s="33" t="s">
        <v>28</v>
      </c>
      <c r="C718" s="38" t="s">
        <v>52</v>
      </c>
      <c r="D718" s="38"/>
      <c r="E718" s="30">
        <v>2021</v>
      </c>
      <c r="F718" s="251">
        <v>5000</v>
      </c>
      <c r="G718" s="36"/>
      <c r="H718" s="60"/>
      <c r="I718" s="36"/>
      <c r="J718" s="36">
        <v>50000</v>
      </c>
      <c r="K718" s="36"/>
      <c r="L718" s="36"/>
      <c r="M718" s="36"/>
      <c r="N718" s="36"/>
      <c r="O718" s="36"/>
      <c r="P718" s="36"/>
      <c r="Q718" s="36"/>
      <c r="R718" s="36"/>
      <c r="S718" s="252">
        <f>SUM(H718:R718)</f>
        <v>50000</v>
      </c>
      <c r="T718" s="252">
        <f>SUM(50000-S718)</f>
        <v>0</v>
      </c>
      <c r="AM718" s="250"/>
    </row>
    <row r="719" spans="1:39" s="258" customFormat="1" ht="48.75" customHeight="1" x14ac:dyDescent="0.45">
      <c r="A719" s="41"/>
      <c r="B719" s="253" t="s">
        <v>28</v>
      </c>
      <c r="C719" s="38"/>
      <c r="D719" s="38"/>
      <c r="E719" s="254"/>
      <c r="F719" s="251"/>
      <c r="G719" s="302"/>
      <c r="H719" s="302"/>
      <c r="I719" s="302"/>
      <c r="J719" s="302"/>
      <c r="K719" s="302"/>
      <c r="L719" s="302"/>
      <c r="M719" s="302"/>
      <c r="N719" s="302"/>
      <c r="O719" s="302"/>
      <c r="P719" s="302"/>
      <c r="Q719" s="302"/>
      <c r="R719" s="302"/>
      <c r="S719" s="252">
        <f>SUM(G719:R719)</f>
        <v>0</v>
      </c>
      <c r="T719" s="257"/>
      <c r="AM719" s="259"/>
    </row>
    <row r="720" spans="1:39" s="258" customFormat="1" ht="48.75" customHeight="1" thickBot="1" x14ac:dyDescent="0.5">
      <c r="A720" s="253"/>
      <c r="B720" s="253"/>
      <c r="C720" s="253"/>
      <c r="D720" s="68"/>
      <c r="E720" s="264"/>
      <c r="F720" s="265"/>
      <c r="G720" s="266"/>
      <c r="H720" s="266"/>
      <c r="I720" s="266"/>
      <c r="J720" s="266"/>
      <c r="K720" s="266"/>
      <c r="L720" s="266"/>
      <c r="M720" s="266"/>
      <c r="N720" s="266"/>
      <c r="O720" s="266"/>
      <c r="P720" s="266"/>
      <c r="Q720" s="266"/>
      <c r="R720" s="266"/>
      <c r="S720" s="267">
        <f>SUM(S714:S719)</f>
        <v>300000</v>
      </c>
      <c r="T720" s="268">
        <f>SUM(T714:T719)</f>
        <v>50000</v>
      </c>
      <c r="AM720" s="259"/>
    </row>
    <row r="721" spans="1:39" s="258" customFormat="1" ht="44.25" customHeight="1" x14ac:dyDescent="0.45">
      <c r="A721" s="253"/>
      <c r="B721" s="253"/>
      <c r="C721" s="253"/>
      <c r="D721" s="68"/>
      <c r="E721" s="253"/>
      <c r="F721" s="253"/>
      <c r="G721" s="253"/>
      <c r="H721" s="253"/>
      <c r="I721" s="253"/>
      <c r="J721" s="253"/>
      <c r="K721" s="253"/>
      <c r="L721" s="253"/>
      <c r="M721" s="253"/>
      <c r="N721" s="253"/>
      <c r="O721" s="253"/>
      <c r="P721" s="253"/>
      <c r="Q721" s="253"/>
      <c r="R721" s="253"/>
      <c r="S721" s="269"/>
      <c r="T721" s="269"/>
      <c r="AM721" s="259"/>
    </row>
    <row r="722" spans="1:39" s="245" customFormat="1" ht="65.25" customHeight="1" x14ac:dyDescent="0.5">
      <c r="A722" s="55" t="s">
        <v>31</v>
      </c>
      <c r="B722" s="241" t="s">
        <v>7</v>
      </c>
      <c r="C722" s="242" t="s">
        <v>32</v>
      </c>
      <c r="D722" s="243" t="s">
        <v>33</v>
      </c>
      <c r="E722" s="242" t="s">
        <v>34</v>
      </c>
      <c r="F722" s="244" t="s">
        <v>11</v>
      </c>
      <c r="G722" s="244" t="s">
        <v>12</v>
      </c>
      <c r="H722" s="244" t="s">
        <v>13</v>
      </c>
      <c r="I722" s="244" t="s">
        <v>14</v>
      </c>
      <c r="J722" s="244" t="s">
        <v>15</v>
      </c>
      <c r="K722" s="244" t="s">
        <v>16</v>
      </c>
      <c r="L722" s="244" t="s">
        <v>17</v>
      </c>
      <c r="M722" s="244" t="s">
        <v>18</v>
      </c>
      <c r="N722" s="244" t="s">
        <v>19</v>
      </c>
      <c r="O722" s="244" t="s">
        <v>20</v>
      </c>
      <c r="P722" s="244" t="s">
        <v>21</v>
      </c>
      <c r="Q722" s="244" t="s">
        <v>22</v>
      </c>
      <c r="R722" s="244" t="s">
        <v>23</v>
      </c>
      <c r="S722" s="20" t="s">
        <v>24</v>
      </c>
      <c r="T722" s="20" t="s">
        <v>25</v>
      </c>
      <c r="AM722" s="246"/>
    </row>
    <row r="723" spans="1:39" ht="51.75" customHeight="1" x14ac:dyDescent="0.25">
      <c r="A723" s="303" t="s">
        <v>193</v>
      </c>
      <c r="B723" s="17"/>
      <c r="C723" s="279" t="s">
        <v>194</v>
      </c>
      <c r="D723" s="19"/>
      <c r="E723" s="26">
        <v>2025</v>
      </c>
      <c r="F723" s="27">
        <v>10000</v>
      </c>
      <c r="G723" s="22"/>
      <c r="H723" s="22"/>
      <c r="I723" s="22"/>
      <c r="J723" s="22"/>
      <c r="K723" s="22"/>
      <c r="L723" s="22"/>
      <c r="M723" s="22"/>
      <c r="N723" s="22"/>
      <c r="O723" s="304"/>
      <c r="P723" s="22"/>
      <c r="Q723" s="22"/>
      <c r="R723" s="22"/>
      <c r="S723" s="64">
        <f>SUM(G723:R723)</f>
        <v>0</v>
      </c>
      <c r="T723" s="29">
        <f>SUM(F723*3-(S723))</f>
        <v>30000</v>
      </c>
    </row>
    <row r="724" spans="1:39" ht="51.75" customHeight="1" x14ac:dyDescent="0.25">
      <c r="A724" s="303"/>
      <c r="B724" s="17"/>
      <c r="C724" s="279"/>
      <c r="D724" s="19"/>
      <c r="E724" s="295" t="s">
        <v>185</v>
      </c>
      <c r="F724" s="296"/>
      <c r="G724" s="296"/>
      <c r="H724" s="296"/>
      <c r="I724" s="296"/>
      <c r="J724" s="296"/>
      <c r="K724" s="296"/>
      <c r="L724" s="296"/>
      <c r="M724" s="296"/>
      <c r="N724" s="296"/>
      <c r="O724" s="296"/>
      <c r="P724" s="296"/>
      <c r="Q724" s="296"/>
      <c r="R724" s="297"/>
      <c r="S724" s="305">
        <v>500000</v>
      </c>
      <c r="T724" s="22">
        <f>SUM(440000-(S724))</f>
        <v>-60000</v>
      </c>
    </row>
    <row r="725" spans="1:39" ht="51.75" customHeight="1" x14ac:dyDescent="0.25">
      <c r="A725" s="303"/>
      <c r="B725" s="17"/>
      <c r="C725" s="279"/>
      <c r="D725" s="19"/>
      <c r="E725" s="306" t="s">
        <v>195</v>
      </c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5"/>
    </row>
    <row r="726" spans="1:39" s="220" customFormat="1" ht="48" customHeight="1" x14ac:dyDescent="0.4">
      <c r="A726" s="303"/>
      <c r="B726" s="33" t="s">
        <v>28</v>
      </c>
      <c r="C726" s="279"/>
      <c r="D726" s="35"/>
      <c r="E726" s="77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9"/>
      <c r="AM726" s="250"/>
    </row>
    <row r="727" spans="1:39" s="220" customFormat="1" ht="48.75" customHeight="1" x14ac:dyDescent="0.4">
      <c r="A727" s="41" t="s">
        <v>167</v>
      </c>
      <c r="B727" s="33" t="s">
        <v>28</v>
      </c>
      <c r="C727" s="38" t="s">
        <v>52</v>
      </c>
      <c r="D727" s="38"/>
      <c r="E727" s="77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9"/>
      <c r="AM727" s="250"/>
    </row>
    <row r="728" spans="1:39" s="258" customFormat="1" ht="48.75" customHeight="1" x14ac:dyDescent="0.45">
      <c r="A728" s="41"/>
      <c r="B728" s="253" t="s">
        <v>28</v>
      </c>
      <c r="C728" s="38"/>
      <c r="D728" s="38"/>
      <c r="E728" s="167"/>
      <c r="F728" s="168"/>
      <c r="G728" s="168"/>
      <c r="H728" s="168"/>
      <c r="I728" s="168"/>
      <c r="J728" s="168"/>
      <c r="K728" s="168"/>
      <c r="L728" s="168"/>
      <c r="M728" s="168"/>
      <c r="N728" s="168"/>
      <c r="O728" s="168"/>
      <c r="P728" s="168"/>
      <c r="Q728" s="168"/>
      <c r="R728" s="168"/>
      <c r="S728" s="168"/>
      <c r="T728" s="169"/>
      <c r="AM728" s="259"/>
    </row>
    <row r="729" spans="1:39" s="258" customFormat="1" ht="48.75" customHeight="1" thickBot="1" x14ac:dyDescent="0.5">
      <c r="A729" s="253"/>
      <c r="B729" s="253"/>
      <c r="C729" s="253"/>
      <c r="D729" s="68"/>
      <c r="E729" s="264"/>
      <c r="F729" s="265"/>
      <c r="G729" s="266"/>
      <c r="H729" s="266"/>
      <c r="I729" s="266"/>
      <c r="J729" s="266"/>
      <c r="K729" s="266"/>
      <c r="L729" s="266"/>
      <c r="M729" s="266"/>
      <c r="N729" s="266"/>
      <c r="O729" s="266"/>
      <c r="P729" s="266"/>
      <c r="Q729" s="266"/>
      <c r="R729" s="266"/>
      <c r="S729" s="267">
        <f>SUM(S723:S728)</f>
        <v>500000</v>
      </c>
      <c r="T729" s="268">
        <f>SUM(T723:T728)</f>
        <v>-30000</v>
      </c>
      <c r="AM729" s="259"/>
    </row>
    <row r="730" spans="1:39" s="258" customFormat="1" ht="44.25" customHeight="1" x14ac:dyDescent="0.45">
      <c r="A730" s="253"/>
      <c r="B730" s="253"/>
      <c r="C730" s="253"/>
      <c r="D730" s="68"/>
      <c r="E730" s="253"/>
      <c r="F730" s="253"/>
      <c r="G730" s="253"/>
      <c r="H730" s="253"/>
      <c r="I730" s="253"/>
      <c r="J730" s="253"/>
      <c r="K730" s="253"/>
      <c r="L730" s="253"/>
      <c r="M730" s="253"/>
      <c r="N730" s="253"/>
      <c r="O730" s="253"/>
      <c r="P730" s="253"/>
      <c r="Q730" s="253"/>
      <c r="R730" s="253"/>
      <c r="S730" s="269"/>
      <c r="T730" s="269"/>
      <c r="AM730" s="259"/>
    </row>
    <row r="731" spans="1:39" s="258" customFormat="1" ht="46.5" customHeight="1" x14ac:dyDescent="0.45">
      <c r="A731" s="253"/>
      <c r="B731" s="253"/>
      <c r="C731" s="253"/>
      <c r="D731" s="68"/>
      <c r="E731" s="253"/>
      <c r="F731" s="253"/>
      <c r="G731" s="253"/>
      <c r="H731" s="253"/>
      <c r="I731" s="253"/>
      <c r="J731" s="253"/>
      <c r="K731" s="253"/>
      <c r="L731" s="253"/>
      <c r="M731" s="253"/>
      <c r="N731" s="253"/>
      <c r="O731" s="253"/>
      <c r="P731" s="253"/>
      <c r="Q731" s="253"/>
      <c r="R731" s="253"/>
      <c r="S731" s="269"/>
      <c r="T731" s="269"/>
      <c r="AM731" s="259"/>
    </row>
    <row r="732" spans="1:39" s="245" customFormat="1" ht="65.25" customHeight="1" x14ac:dyDescent="0.5">
      <c r="A732" s="55" t="s">
        <v>31</v>
      </c>
      <c r="B732" s="241" t="s">
        <v>7</v>
      </c>
      <c r="C732" s="242" t="s">
        <v>32</v>
      </c>
      <c r="D732" s="243" t="s">
        <v>33</v>
      </c>
      <c r="E732" s="242" t="s">
        <v>34</v>
      </c>
      <c r="F732" s="244" t="s">
        <v>11</v>
      </c>
      <c r="G732" s="244" t="s">
        <v>12</v>
      </c>
      <c r="H732" s="244" t="s">
        <v>13</v>
      </c>
      <c r="I732" s="244" t="s">
        <v>14</v>
      </c>
      <c r="J732" s="244" t="s">
        <v>15</v>
      </c>
      <c r="K732" s="244" t="s">
        <v>16</v>
      </c>
      <c r="L732" s="244" t="s">
        <v>17</v>
      </c>
      <c r="M732" s="244" t="s">
        <v>18</v>
      </c>
      <c r="N732" s="244" t="s">
        <v>19</v>
      </c>
      <c r="O732" s="244" t="s">
        <v>20</v>
      </c>
      <c r="P732" s="244" t="s">
        <v>21</v>
      </c>
      <c r="Q732" s="244" t="s">
        <v>22</v>
      </c>
      <c r="R732" s="244" t="s">
        <v>23</v>
      </c>
      <c r="S732" s="20" t="s">
        <v>24</v>
      </c>
      <c r="T732" s="20" t="s">
        <v>25</v>
      </c>
      <c r="AM732" s="246"/>
    </row>
    <row r="733" spans="1:39" ht="51.75" customHeight="1" x14ac:dyDescent="0.25">
      <c r="A733" s="307">
        <v>9</v>
      </c>
      <c r="B733" s="17"/>
      <c r="C733" s="247" t="s">
        <v>124</v>
      </c>
      <c r="D733" s="19" t="str">
        <f>C733</f>
        <v>VACANT</v>
      </c>
      <c r="E733" s="26">
        <v>2025</v>
      </c>
      <c r="F733" s="251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64">
        <f>SUM(G733:R733)</f>
        <v>0</v>
      </c>
      <c r="T733" s="29">
        <f>SUM(F733*IF(E733=_current_year,_current_month,12)-(S733))</f>
        <v>0</v>
      </c>
    </row>
    <row r="734" spans="1:39" ht="51.75" customHeight="1" x14ac:dyDescent="0.25">
      <c r="A734" s="307"/>
      <c r="B734" s="17"/>
      <c r="C734" s="308"/>
      <c r="D734" s="19"/>
      <c r="E734" s="30"/>
      <c r="F734" s="27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37"/>
      <c r="T734" s="22"/>
    </row>
    <row r="735" spans="1:39" s="220" customFormat="1" ht="48" customHeight="1" x14ac:dyDescent="0.4">
      <c r="A735" s="307"/>
      <c r="B735" s="33" t="s">
        <v>28</v>
      </c>
      <c r="D735" s="35"/>
      <c r="E735" s="30"/>
      <c r="F735" s="27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7"/>
      <c r="T735" s="37"/>
      <c r="AM735" s="250"/>
    </row>
    <row r="736" spans="1:39" s="220" customFormat="1" ht="48" customHeight="1" x14ac:dyDescent="0.4">
      <c r="A736" s="41" t="s">
        <v>167</v>
      </c>
      <c r="B736" s="33" t="s">
        <v>28</v>
      </c>
      <c r="C736" s="38" t="s">
        <v>52</v>
      </c>
      <c r="D736" s="38"/>
      <c r="E736" s="30"/>
      <c r="F736" s="251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252"/>
      <c r="T736" s="252"/>
      <c r="AM736" s="250"/>
    </row>
    <row r="737" spans="1:39" s="258" customFormat="1" ht="73.5" customHeight="1" x14ac:dyDescent="0.45">
      <c r="A737" s="41"/>
      <c r="B737" s="253" t="s">
        <v>28</v>
      </c>
      <c r="C737" s="38"/>
      <c r="D737" s="38"/>
      <c r="E737" s="254"/>
      <c r="F737" s="251"/>
      <c r="G737" s="302"/>
      <c r="H737" s="302"/>
      <c r="I737" s="302"/>
      <c r="J737" s="302"/>
      <c r="K737" s="302"/>
      <c r="L737" s="302"/>
      <c r="M737" s="302"/>
      <c r="N737" s="302"/>
      <c r="O737" s="302"/>
      <c r="P737" s="302"/>
      <c r="Q737" s="302"/>
      <c r="R737" s="302"/>
      <c r="S737" s="252"/>
      <c r="T737" s="257"/>
      <c r="AM737" s="259"/>
    </row>
    <row r="738" spans="1:39" s="258" customFormat="1" ht="51" customHeight="1" x14ac:dyDescent="0.45">
      <c r="A738" s="309"/>
      <c r="B738" s="253"/>
      <c r="C738" s="38"/>
      <c r="D738" s="38"/>
      <c r="E738" s="254"/>
      <c r="F738" s="251"/>
      <c r="G738" s="302"/>
      <c r="H738" s="302"/>
      <c r="I738" s="302"/>
      <c r="J738" s="302"/>
      <c r="K738" s="302"/>
      <c r="L738" s="302"/>
      <c r="M738" s="302"/>
      <c r="N738" s="302"/>
      <c r="O738" s="302"/>
      <c r="P738" s="302"/>
      <c r="Q738" s="302"/>
      <c r="R738" s="302"/>
      <c r="S738" s="252"/>
      <c r="T738" s="257"/>
      <c r="AM738" s="259"/>
    </row>
    <row r="739" spans="1:39" s="258" customFormat="1" ht="51" customHeight="1" x14ac:dyDescent="0.45">
      <c r="A739" s="309"/>
      <c r="B739" s="253"/>
      <c r="C739" s="38"/>
      <c r="D739" s="38"/>
      <c r="E739" s="254"/>
      <c r="F739" s="251"/>
      <c r="G739" s="302"/>
      <c r="H739" s="302"/>
      <c r="I739" s="302"/>
      <c r="J739" s="302"/>
      <c r="K739" s="302"/>
      <c r="L739" s="302"/>
      <c r="M739" s="302"/>
      <c r="N739" s="302"/>
      <c r="O739" s="302"/>
      <c r="P739" s="302"/>
      <c r="Q739" s="302"/>
      <c r="R739" s="302"/>
      <c r="S739" s="252"/>
      <c r="T739" s="257"/>
      <c r="AM739" s="259"/>
    </row>
    <row r="740" spans="1:39" s="258" customFormat="1" ht="51" customHeight="1" thickBot="1" x14ac:dyDescent="0.5">
      <c r="A740" s="253"/>
      <c r="B740" s="253"/>
      <c r="C740" s="253"/>
      <c r="D740" s="68"/>
      <c r="E740" s="264"/>
      <c r="F740" s="265"/>
      <c r="G740" s="266"/>
      <c r="H740" s="266"/>
      <c r="I740" s="266"/>
      <c r="J740" s="266"/>
      <c r="K740" s="266"/>
      <c r="L740" s="266"/>
      <c r="M740" s="266"/>
      <c r="N740" s="266"/>
      <c r="O740" s="266"/>
      <c r="P740" s="266"/>
      <c r="Q740" s="266"/>
      <c r="R740" s="266"/>
      <c r="S740" s="267">
        <f>SUM(S733:S739)</f>
        <v>0</v>
      </c>
      <c r="T740" s="268">
        <f>SUM(T733:T739)</f>
        <v>0</v>
      </c>
      <c r="AM740" s="259"/>
    </row>
    <row r="741" spans="1:39" s="258" customFormat="1" ht="65.25" customHeight="1" x14ac:dyDescent="0.45">
      <c r="A741" s="253"/>
      <c r="B741" s="253"/>
      <c r="C741" s="253"/>
      <c r="D741" s="68"/>
      <c r="E741" s="253"/>
      <c r="F741" s="253"/>
      <c r="G741" s="253"/>
      <c r="H741" s="253"/>
      <c r="I741" s="253"/>
      <c r="J741" s="253"/>
      <c r="K741" s="253"/>
      <c r="L741" s="253"/>
      <c r="M741" s="253"/>
      <c r="N741" s="253"/>
      <c r="O741" s="253"/>
      <c r="P741" s="253"/>
      <c r="Q741" s="253"/>
      <c r="R741" s="253"/>
      <c r="S741" s="269"/>
      <c r="T741" s="269"/>
      <c r="AM741" s="259"/>
    </row>
    <row r="742" spans="1:39" s="245" customFormat="1" ht="65.25" customHeight="1" x14ac:dyDescent="0.5">
      <c r="A742" s="55" t="s">
        <v>31</v>
      </c>
      <c r="B742" s="241" t="s">
        <v>7</v>
      </c>
      <c r="C742" s="242" t="s">
        <v>32</v>
      </c>
      <c r="D742" s="243" t="s">
        <v>33</v>
      </c>
      <c r="E742" s="242" t="s">
        <v>34</v>
      </c>
      <c r="F742" s="244" t="s">
        <v>11</v>
      </c>
      <c r="G742" s="244" t="s">
        <v>12</v>
      </c>
      <c r="H742" s="244" t="s">
        <v>13</v>
      </c>
      <c r="I742" s="244" t="s">
        <v>14</v>
      </c>
      <c r="J742" s="244" t="s">
        <v>15</v>
      </c>
      <c r="K742" s="244" t="s">
        <v>16</v>
      </c>
      <c r="L742" s="244" t="s">
        <v>17</v>
      </c>
      <c r="M742" s="244" t="s">
        <v>18</v>
      </c>
      <c r="N742" s="244" t="s">
        <v>19</v>
      </c>
      <c r="O742" s="244" t="s">
        <v>20</v>
      </c>
      <c r="P742" s="244" t="s">
        <v>21</v>
      </c>
      <c r="Q742" s="244" t="s">
        <v>22</v>
      </c>
      <c r="R742" s="244" t="s">
        <v>23</v>
      </c>
      <c r="S742" s="20" t="s">
        <v>24</v>
      </c>
      <c r="T742" s="20" t="s">
        <v>25</v>
      </c>
      <c r="AM742" s="246"/>
    </row>
    <row r="743" spans="1:39" ht="51.75" customHeight="1" x14ac:dyDescent="0.25">
      <c r="A743" s="310" t="s">
        <v>196</v>
      </c>
      <c r="B743" s="17"/>
      <c r="C743" s="247" t="s">
        <v>197</v>
      </c>
      <c r="D743" s="19"/>
      <c r="E743" s="26">
        <v>2025</v>
      </c>
      <c r="F743" s="251">
        <v>5000</v>
      </c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64">
        <f>SUM(G743:R743)</f>
        <v>0</v>
      </c>
      <c r="T743" s="29">
        <f>SUM(F743*IF(E743=_current_year,_current_month,12)-(S743))</f>
        <v>60000</v>
      </c>
    </row>
    <row r="744" spans="1:39" ht="51.75" customHeight="1" x14ac:dyDescent="0.25">
      <c r="A744" s="310"/>
      <c r="B744" s="17"/>
      <c r="C744" s="247"/>
      <c r="D744" s="19"/>
      <c r="E744" s="30">
        <v>2024</v>
      </c>
      <c r="F744" s="251">
        <v>3000</v>
      </c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37">
        <f>SUM(G744:R744)</f>
        <v>0</v>
      </c>
      <c r="T744" s="22">
        <f>SUM(F744*IF(E744=_current_year,_current_month,12)-(S744))</f>
        <v>36000</v>
      </c>
    </row>
    <row r="745" spans="1:39" ht="51.75" customHeight="1" x14ac:dyDescent="0.25">
      <c r="A745" s="310"/>
      <c r="B745" s="17"/>
      <c r="C745" s="247"/>
      <c r="D745" s="19"/>
      <c r="E745" s="30">
        <v>2023</v>
      </c>
      <c r="F745" s="251">
        <v>3000</v>
      </c>
      <c r="G745" s="22"/>
      <c r="H745" s="22">
        <f>3000+3000</f>
        <v>6000</v>
      </c>
      <c r="I745" s="22">
        <v>3000</v>
      </c>
      <c r="J745" s="22">
        <v>3000</v>
      </c>
      <c r="K745" s="22"/>
      <c r="L745" s="22">
        <v>6000</v>
      </c>
      <c r="M745" s="22">
        <v>3000</v>
      </c>
      <c r="N745" s="22"/>
      <c r="O745" s="22">
        <f>3000+3000</f>
        <v>6000</v>
      </c>
      <c r="P745" s="22">
        <v>3000</v>
      </c>
      <c r="Q745" s="22">
        <v>3000</v>
      </c>
      <c r="R745" s="22"/>
      <c r="S745" s="37">
        <f>SUM(G745:R745)</f>
        <v>33000</v>
      </c>
      <c r="T745" s="22">
        <f>SUM(F745*IF(E745=_current_year,_current_month,12)-(S745))</f>
        <v>3000</v>
      </c>
    </row>
    <row r="746" spans="1:39" s="220" customFormat="1" ht="48" customHeight="1" x14ac:dyDescent="0.4">
      <c r="A746" s="310"/>
      <c r="B746" s="33" t="s">
        <v>28</v>
      </c>
      <c r="C746" s="142" t="s">
        <v>198</v>
      </c>
      <c r="D746" s="35"/>
      <c r="E746" s="30">
        <v>2022</v>
      </c>
      <c r="F746" s="251">
        <v>3000</v>
      </c>
      <c r="G746" s="36">
        <v>3000</v>
      </c>
      <c r="H746" s="36"/>
      <c r="I746" s="36"/>
      <c r="J746" s="36">
        <v>3000</v>
      </c>
      <c r="K746" s="36">
        <v>3000</v>
      </c>
      <c r="L746" s="36">
        <v>3000</v>
      </c>
      <c r="M746" s="36"/>
      <c r="N746" s="36">
        <v>3000</v>
      </c>
      <c r="O746" s="36">
        <v>3000</v>
      </c>
      <c r="P746" s="36"/>
      <c r="Q746" s="36">
        <v>3000</v>
      </c>
      <c r="R746" s="36"/>
      <c r="S746" s="37">
        <f>SUM(G746:R746)</f>
        <v>21000</v>
      </c>
      <c r="T746" s="37">
        <f>SUM(36000-S746)</f>
        <v>15000</v>
      </c>
      <c r="AM746" s="250"/>
    </row>
    <row r="747" spans="1:39" s="220" customFormat="1" ht="48" customHeight="1" x14ac:dyDescent="0.4">
      <c r="A747" s="41" t="s">
        <v>167</v>
      </c>
      <c r="B747" s="33" t="s">
        <v>28</v>
      </c>
      <c r="C747" s="38" t="s">
        <v>52</v>
      </c>
      <c r="D747" s="38"/>
      <c r="E747" s="30">
        <v>2021</v>
      </c>
      <c r="F747" s="251">
        <v>3000</v>
      </c>
      <c r="G747" s="36"/>
      <c r="H747" s="60">
        <v>3000</v>
      </c>
      <c r="I747" s="36"/>
      <c r="J747" s="36"/>
      <c r="K747" s="36"/>
      <c r="L747" s="36"/>
      <c r="M747" s="36"/>
      <c r="N747" s="36"/>
      <c r="O747" s="36"/>
      <c r="P747" s="36">
        <v>3000</v>
      </c>
      <c r="Q747" s="36"/>
      <c r="R747" s="36">
        <v>3000</v>
      </c>
      <c r="S747" s="252">
        <f>SUM(G747:R747)</f>
        <v>9000</v>
      </c>
      <c r="T747" s="252">
        <f>SUM(33000-S747)</f>
        <v>24000</v>
      </c>
      <c r="AM747" s="250"/>
    </row>
    <row r="748" spans="1:39" s="258" customFormat="1" ht="48" customHeight="1" x14ac:dyDescent="0.45">
      <c r="A748" s="41"/>
      <c r="B748" s="253" t="s">
        <v>93</v>
      </c>
      <c r="C748" s="38"/>
      <c r="D748" s="38"/>
      <c r="E748" s="254"/>
      <c r="F748" s="251"/>
      <c r="G748" s="302"/>
      <c r="H748" s="302"/>
      <c r="I748" s="302"/>
      <c r="J748" s="302"/>
      <c r="K748" s="302"/>
      <c r="L748" s="302"/>
      <c r="M748" s="302"/>
      <c r="N748" s="302"/>
      <c r="O748" s="302"/>
      <c r="P748" s="302"/>
      <c r="Q748" s="302"/>
      <c r="R748" s="302"/>
      <c r="S748" s="252"/>
      <c r="T748" s="252"/>
      <c r="AM748" s="259"/>
    </row>
    <row r="749" spans="1:39" s="258" customFormat="1" ht="48" customHeight="1" x14ac:dyDescent="0.45">
      <c r="A749" s="311"/>
      <c r="B749" s="253"/>
      <c r="C749" s="38"/>
      <c r="D749" s="38"/>
      <c r="E749" s="254"/>
      <c r="F749" s="251"/>
      <c r="G749" s="302"/>
      <c r="H749" s="302"/>
      <c r="I749" s="302"/>
      <c r="J749" s="302"/>
      <c r="K749" s="302"/>
      <c r="L749" s="302"/>
      <c r="M749" s="302"/>
      <c r="N749" s="302"/>
      <c r="O749" s="302"/>
      <c r="P749" s="302"/>
      <c r="Q749" s="302"/>
      <c r="R749" s="302"/>
      <c r="S749" s="252"/>
      <c r="T749" s="252"/>
      <c r="AM749" s="259"/>
    </row>
    <row r="750" spans="1:39" s="258" customFormat="1" ht="48" customHeight="1" x14ac:dyDescent="0.45">
      <c r="A750" s="311"/>
      <c r="B750" s="253"/>
      <c r="C750" s="38"/>
      <c r="D750" s="38"/>
      <c r="E750" s="254"/>
      <c r="F750" s="254"/>
      <c r="G750" s="302"/>
      <c r="H750" s="302"/>
      <c r="I750" s="302"/>
      <c r="J750" s="302"/>
      <c r="K750" s="302"/>
      <c r="L750" s="302"/>
      <c r="M750" s="302"/>
      <c r="N750" s="302"/>
      <c r="O750" s="302"/>
      <c r="P750" s="302"/>
      <c r="Q750" s="302"/>
      <c r="R750" s="302"/>
      <c r="S750" s="252"/>
      <c r="T750" s="257"/>
      <c r="AM750" s="259"/>
    </row>
    <row r="751" spans="1:39" s="258" customFormat="1" ht="48" customHeight="1" thickBot="1" x14ac:dyDescent="0.5">
      <c r="A751" s="253"/>
      <c r="B751" s="253"/>
      <c r="C751" s="253"/>
      <c r="D751" s="68"/>
      <c r="E751" s="264"/>
      <c r="F751" s="265"/>
      <c r="G751" s="266"/>
      <c r="H751" s="266"/>
      <c r="I751" s="266"/>
      <c r="J751" s="266"/>
      <c r="K751" s="266"/>
      <c r="L751" s="266"/>
      <c r="M751" s="266"/>
      <c r="N751" s="266"/>
      <c r="O751" s="266"/>
      <c r="P751" s="266"/>
      <c r="Q751" s="266"/>
      <c r="R751" s="266"/>
      <c r="S751" s="267">
        <f>SUM(S743:S750)</f>
        <v>63000</v>
      </c>
      <c r="T751" s="268">
        <f>SUM(T743:T750)</f>
        <v>138000</v>
      </c>
      <c r="AM751" s="259"/>
    </row>
    <row r="752" spans="1:39" s="258" customFormat="1" ht="65.25" customHeight="1" x14ac:dyDescent="0.45">
      <c r="A752" s="253"/>
      <c r="B752" s="253"/>
      <c r="C752" s="253"/>
      <c r="D752" s="68"/>
      <c r="E752" s="253"/>
      <c r="F752" s="253"/>
      <c r="G752" s="253"/>
      <c r="H752" s="253"/>
      <c r="I752" s="253"/>
      <c r="J752" s="253"/>
      <c r="K752" s="253"/>
      <c r="L752" s="253"/>
      <c r="M752" s="253"/>
      <c r="N752" s="253"/>
      <c r="O752" s="253"/>
      <c r="P752" s="253"/>
      <c r="Q752" s="253"/>
      <c r="R752" s="253"/>
      <c r="S752" s="269"/>
      <c r="T752" s="269"/>
      <c r="AM752" s="259"/>
    </row>
    <row r="753" spans="1:39" s="245" customFormat="1" ht="65.25" customHeight="1" x14ac:dyDescent="0.5">
      <c r="A753" s="55" t="s">
        <v>31</v>
      </c>
      <c r="B753" s="241" t="s">
        <v>7</v>
      </c>
      <c r="C753" s="242" t="s">
        <v>32</v>
      </c>
      <c r="D753" s="243" t="s">
        <v>33</v>
      </c>
      <c r="E753" s="242" t="s">
        <v>34</v>
      </c>
      <c r="F753" s="244" t="s">
        <v>11</v>
      </c>
      <c r="G753" s="244" t="s">
        <v>12</v>
      </c>
      <c r="H753" s="244" t="s">
        <v>13</v>
      </c>
      <c r="I753" s="244" t="s">
        <v>14</v>
      </c>
      <c r="J753" s="244" t="s">
        <v>15</v>
      </c>
      <c r="K753" s="244" t="s">
        <v>16</v>
      </c>
      <c r="L753" s="244" t="s">
        <v>17</v>
      </c>
      <c r="M753" s="244" t="s">
        <v>18</v>
      </c>
      <c r="N753" s="244" t="s">
        <v>19</v>
      </c>
      <c r="O753" s="244" t="s">
        <v>20</v>
      </c>
      <c r="P753" s="244" t="s">
        <v>21</v>
      </c>
      <c r="Q753" s="244" t="s">
        <v>22</v>
      </c>
      <c r="R753" s="244" t="s">
        <v>23</v>
      </c>
      <c r="S753" s="20" t="s">
        <v>24</v>
      </c>
      <c r="T753" s="20" t="s">
        <v>25</v>
      </c>
      <c r="AM753" s="246"/>
    </row>
    <row r="754" spans="1:39" ht="51.75" customHeight="1" x14ac:dyDescent="0.25">
      <c r="A754" s="310" t="s">
        <v>199</v>
      </c>
      <c r="B754" s="17"/>
      <c r="C754" s="312" t="s">
        <v>124</v>
      </c>
      <c r="D754" s="19"/>
      <c r="E754" s="26">
        <v>2025</v>
      </c>
      <c r="F754" s="251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64">
        <f>SUM(G754:R754)</f>
        <v>0</v>
      </c>
      <c r="T754" s="29">
        <f>SUM(F754*IF(E754=_current_year,_current_month,12)-(S754))</f>
        <v>0</v>
      </c>
    </row>
    <row r="755" spans="1:39" ht="51.75" customHeight="1" x14ac:dyDescent="0.25">
      <c r="A755" s="310"/>
      <c r="B755" s="17"/>
      <c r="C755" s="312"/>
      <c r="D755" s="19"/>
      <c r="E755" s="30"/>
      <c r="F755" s="251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36"/>
      <c r="S755" s="37"/>
      <c r="T755" s="22"/>
    </row>
    <row r="756" spans="1:39" ht="51.75" customHeight="1" x14ac:dyDescent="0.25">
      <c r="A756" s="310"/>
      <c r="B756" s="17"/>
      <c r="C756" s="312"/>
      <c r="D756" s="19"/>
      <c r="E756" s="30"/>
      <c r="F756" s="251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36"/>
      <c r="S756" s="37"/>
      <c r="T756" s="22"/>
    </row>
    <row r="757" spans="1:39" s="220" customFormat="1" ht="48" customHeight="1" x14ac:dyDescent="0.4">
      <c r="A757" s="310"/>
      <c r="B757" s="33" t="s">
        <v>28</v>
      </c>
      <c r="C757" s="34"/>
      <c r="D757" s="35"/>
      <c r="E757" s="30"/>
      <c r="F757" s="251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7"/>
      <c r="T757" s="37"/>
      <c r="AM757" s="250"/>
    </row>
    <row r="758" spans="1:39" s="220" customFormat="1" ht="48.75" customHeight="1" x14ac:dyDescent="0.4">
      <c r="A758" s="311"/>
      <c r="B758" s="33" t="s">
        <v>28</v>
      </c>
      <c r="C758" s="80" t="s">
        <v>52</v>
      </c>
      <c r="D758" s="35"/>
      <c r="E758" s="30"/>
      <c r="F758" s="251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252"/>
      <c r="T758" s="252"/>
      <c r="AM758" s="250"/>
    </row>
    <row r="759" spans="1:39" s="258" customFormat="1" ht="48.75" customHeight="1" x14ac:dyDescent="0.45">
      <c r="A759" s="313" t="s">
        <v>167</v>
      </c>
      <c r="B759" s="253" t="s">
        <v>60</v>
      </c>
      <c r="C759" s="80"/>
      <c r="D759" s="314" t="s">
        <v>200</v>
      </c>
      <c r="E759" s="254"/>
      <c r="F759" s="251"/>
      <c r="G759" s="302"/>
      <c r="H759" s="302"/>
      <c r="I759" s="302"/>
      <c r="J759" s="302"/>
      <c r="K759" s="302"/>
      <c r="L759" s="302"/>
      <c r="M759" s="302"/>
      <c r="N759" s="302"/>
      <c r="O759" s="302"/>
      <c r="P759" s="302"/>
      <c r="Q759" s="302"/>
      <c r="R759" s="302"/>
      <c r="S759" s="252"/>
      <c r="T759" s="257"/>
      <c r="AM759" s="259"/>
    </row>
    <row r="760" spans="1:39" s="258" customFormat="1" ht="48.75" customHeight="1" x14ac:dyDescent="0.45">
      <c r="A760" s="313"/>
      <c r="B760" s="253"/>
      <c r="C760" s="80"/>
      <c r="D760" s="59"/>
      <c r="E760" s="254"/>
      <c r="F760" s="254"/>
      <c r="G760" s="302"/>
      <c r="H760" s="302"/>
      <c r="I760" s="302"/>
      <c r="J760" s="302"/>
      <c r="K760" s="302"/>
      <c r="L760" s="302"/>
      <c r="M760" s="302"/>
      <c r="N760" s="302"/>
      <c r="O760" s="302"/>
      <c r="P760" s="302"/>
      <c r="Q760" s="302"/>
      <c r="R760" s="302"/>
      <c r="S760" s="257"/>
      <c r="T760" s="257"/>
      <c r="AM760" s="259"/>
    </row>
    <row r="761" spans="1:39" s="258" customFormat="1" ht="48.75" customHeight="1" thickBot="1" x14ac:dyDescent="0.5">
      <c r="A761" s="253"/>
      <c r="B761" s="253"/>
      <c r="C761" s="80"/>
      <c r="D761" s="68"/>
      <c r="E761" s="264"/>
      <c r="F761" s="265"/>
      <c r="G761" s="266"/>
      <c r="H761" s="266"/>
      <c r="I761" s="266"/>
      <c r="J761" s="266"/>
      <c r="K761" s="266"/>
      <c r="L761" s="266"/>
      <c r="M761" s="266"/>
      <c r="N761" s="266"/>
      <c r="O761" s="266"/>
      <c r="P761" s="266"/>
      <c r="Q761" s="266"/>
      <c r="R761" s="266"/>
      <c r="S761" s="267">
        <f>SUM(S754:S760)</f>
        <v>0</v>
      </c>
      <c r="T761" s="268">
        <f>SUM(T754:T760)</f>
        <v>0</v>
      </c>
      <c r="AM761" s="259"/>
    </row>
    <row r="762" spans="1:39" s="258" customFormat="1" ht="48.75" customHeight="1" x14ac:dyDescent="0.45">
      <c r="A762" s="253"/>
      <c r="B762" s="253"/>
      <c r="C762" s="253"/>
      <c r="D762" s="68"/>
      <c r="E762" s="264"/>
      <c r="F762" s="264"/>
      <c r="G762" s="276"/>
      <c r="H762" s="276"/>
      <c r="I762" s="276"/>
      <c r="J762" s="276"/>
      <c r="K762" s="276"/>
      <c r="L762" s="276"/>
      <c r="M762" s="276"/>
      <c r="N762" s="276"/>
      <c r="O762" s="276"/>
      <c r="P762" s="276"/>
      <c r="Q762" s="276"/>
      <c r="R762" s="276"/>
      <c r="S762" s="286"/>
      <c r="T762" s="286"/>
      <c r="AM762" s="259"/>
    </row>
    <row r="763" spans="1:39" s="258" customFormat="1" ht="48.75" customHeight="1" x14ac:dyDescent="0.45">
      <c r="A763" s="253"/>
      <c r="B763" s="253"/>
      <c r="C763" s="253"/>
      <c r="D763" s="68"/>
      <c r="E763" s="264"/>
      <c r="F763" s="264"/>
      <c r="G763" s="276"/>
      <c r="H763" s="276"/>
      <c r="I763" s="276"/>
      <c r="J763" s="276"/>
      <c r="K763" s="276"/>
      <c r="L763" s="276"/>
      <c r="M763" s="276"/>
      <c r="N763" s="276"/>
      <c r="O763" s="276"/>
      <c r="P763" s="276"/>
      <c r="Q763" s="276"/>
      <c r="R763" s="276"/>
      <c r="S763" s="286"/>
      <c r="T763" s="286"/>
      <c r="AM763" s="259"/>
    </row>
    <row r="764" spans="1:39" s="258" customFormat="1" ht="48.75" customHeight="1" x14ac:dyDescent="0.45">
      <c r="A764" s="253"/>
      <c r="B764" s="253"/>
      <c r="C764" s="253"/>
      <c r="D764" s="68"/>
      <c r="E764" s="264"/>
      <c r="F764" s="264"/>
      <c r="G764" s="276"/>
      <c r="H764" s="276"/>
      <c r="I764" s="276"/>
      <c r="J764" s="276"/>
      <c r="K764" s="276"/>
      <c r="L764" s="276"/>
      <c r="M764" s="276"/>
      <c r="N764" s="276"/>
      <c r="O764" s="276"/>
      <c r="P764" s="276"/>
      <c r="Q764" s="276"/>
      <c r="R764" s="276"/>
      <c r="S764" s="286"/>
      <c r="T764" s="286"/>
      <c r="AM764" s="259"/>
    </row>
    <row r="765" spans="1:39" s="245" customFormat="1" ht="63" customHeight="1" x14ac:dyDescent="0.5">
      <c r="A765" s="55" t="s">
        <v>31</v>
      </c>
      <c r="B765" s="241" t="s">
        <v>7</v>
      </c>
      <c r="C765" s="242" t="s">
        <v>32</v>
      </c>
      <c r="D765" s="243" t="s">
        <v>33</v>
      </c>
      <c r="E765" s="242" t="s">
        <v>34</v>
      </c>
      <c r="F765" s="244" t="s">
        <v>11</v>
      </c>
      <c r="G765" s="244" t="s">
        <v>12</v>
      </c>
      <c r="H765" s="244" t="s">
        <v>13</v>
      </c>
      <c r="I765" s="244" t="s">
        <v>14</v>
      </c>
      <c r="J765" s="244" t="s">
        <v>15</v>
      </c>
      <c r="K765" s="244" t="s">
        <v>16</v>
      </c>
      <c r="L765" s="244" t="s">
        <v>17</v>
      </c>
      <c r="M765" s="244" t="s">
        <v>18</v>
      </c>
      <c r="N765" s="244" t="s">
        <v>19</v>
      </c>
      <c r="O765" s="244" t="s">
        <v>20</v>
      </c>
      <c r="P765" s="244" t="s">
        <v>21</v>
      </c>
      <c r="Q765" s="244" t="s">
        <v>22</v>
      </c>
      <c r="R765" s="244" t="s">
        <v>23</v>
      </c>
      <c r="S765" s="20" t="s">
        <v>24</v>
      </c>
      <c r="T765" s="20" t="s">
        <v>25</v>
      </c>
      <c r="AM765" s="246"/>
    </row>
    <row r="766" spans="1:39" ht="51.75" customHeight="1" x14ac:dyDescent="0.25">
      <c r="A766" s="310" t="s">
        <v>201</v>
      </c>
      <c r="B766" s="17"/>
      <c r="C766" s="312" t="s">
        <v>202</v>
      </c>
      <c r="D766" s="19"/>
      <c r="E766" s="26">
        <v>2025</v>
      </c>
      <c r="F766" s="251">
        <v>10000</v>
      </c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64">
        <f t="shared" ref="S766:S776" si="36">SUM(G766:R766)</f>
        <v>0</v>
      </c>
      <c r="T766" s="29">
        <f>SUM(F766*IF(E766=_current_year,_current_month,12)-(S766))</f>
        <v>120000</v>
      </c>
    </row>
    <row r="767" spans="1:39" ht="51.75" customHeight="1" x14ac:dyDescent="0.25">
      <c r="A767" s="310"/>
      <c r="B767" s="17"/>
      <c r="C767" s="315" t="s">
        <v>202</v>
      </c>
      <c r="D767" s="19"/>
      <c r="E767" s="30">
        <v>2024</v>
      </c>
      <c r="F767" s="251">
        <v>5000</v>
      </c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37">
        <f t="shared" si="36"/>
        <v>0</v>
      </c>
      <c r="T767" s="22">
        <f>SUM(F767*IF(E767=_current_year,_current_month,12)-(S767))</f>
        <v>60000</v>
      </c>
    </row>
    <row r="768" spans="1:39" ht="51.75" customHeight="1" x14ac:dyDescent="0.25">
      <c r="A768" s="310"/>
      <c r="B768" s="17"/>
      <c r="C768" s="315"/>
      <c r="D768" s="19"/>
      <c r="E768" s="30">
        <v>2023</v>
      </c>
      <c r="F768" s="251">
        <v>5000</v>
      </c>
      <c r="G768" s="22"/>
      <c r="H768" s="22"/>
      <c r="I768" s="22"/>
      <c r="J768" s="22">
        <v>50000</v>
      </c>
      <c r="K768" s="22"/>
      <c r="L768" s="22"/>
      <c r="M768" s="22"/>
      <c r="N768" s="22"/>
      <c r="O768" s="22"/>
      <c r="P768" s="22"/>
      <c r="Q768" s="22"/>
      <c r="R768" s="22">
        <v>40000</v>
      </c>
      <c r="S768" s="37">
        <f t="shared" si="36"/>
        <v>90000</v>
      </c>
      <c r="T768" s="22">
        <f>SUM(F768*12)-(S768)</f>
        <v>-30000</v>
      </c>
    </row>
    <row r="769" spans="1:39" s="220" customFormat="1" ht="48" customHeight="1" x14ac:dyDescent="0.4">
      <c r="A769" s="310"/>
      <c r="B769" s="33" t="s">
        <v>28</v>
      </c>
      <c r="C769" s="34"/>
      <c r="D769" s="35"/>
      <c r="E769" s="30">
        <v>2022</v>
      </c>
      <c r="F769" s="251">
        <v>5000</v>
      </c>
      <c r="G769" s="36"/>
      <c r="H769" s="36"/>
      <c r="I769" s="36"/>
      <c r="J769" s="36"/>
      <c r="K769" s="36"/>
      <c r="L769" s="36">
        <v>36000</v>
      </c>
      <c r="M769" s="36"/>
      <c r="N769" s="36"/>
      <c r="O769" s="36"/>
      <c r="P769" s="36"/>
      <c r="Q769" s="36"/>
      <c r="R769" s="36"/>
      <c r="S769" s="37">
        <f t="shared" si="36"/>
        <v>36000</v>
      </c>
      <c r="T769" s="37">
        <f>SUM(60000-S769)</f>
        <v>24000</v>
      </c>
      <c r="AM769" s="250"/>
    </row>
    <row r="770" spans="1:39" s="220" customFormat="1" ht="48.75" customHeight="1" x14ac:dyDescent="0.4">
      <c r="A770" s="310"/>
      <c r="B770" s="33" t="s">
        <v>28</v>
      </c>
      <c r="C770" s="38" t="s">
        <v>52</v>
      </c>
      <c r="D770" s="38"/>
      <c r="E770" s="30">
        <v>2021</v>
      </c>
      <c r="F770" s="251">
        <v>3000</v>
      </c>
      <c r="G770" s="36"/>
      <c r="H770" s="36"/>
      <c r="I770" s="36"/>
      <c r="J770" s="36">
        <v>12000</v>
      </c>
      <c r="K770" s="36"/>
      <c r="L770" s="36"/>
      <c r="M770" s="36"/>
      <c r="N770" s="36"/>
      <c r="O770" s="36"/>
      <c r="P770" s="36"/>
      <c r="Q770" s="36"/>
      <c r="R770" s="36"/>
      <c r="S770" s="252">
        <f t="shared" si="36"/>
        <v>12000</v>
      </c>
      <c r="T770" s="252">
        <f t="shared" ref="T770:T776" si="37">SUM(36000-S770)</f>
        <v>24000</v>
      </c>
      <c r="AM770" s="250"/>
    </row>
    <row r="771" spans="1:39" s="258" customFormat="1" ht="48.75" customHeight="1" x14ac:dyDescent="0.45">
      <c r="A771" s="313" t="s">
        <v>167</v>
      </c>
      <c r="B771" s="253" t="s">
        <v>80</v>
      </c>
      <c r="C771" s="38"/>
      <c r="D771" s="38"/>
      <c r="E771" s="254">
        <v>2020</v>
      </c>
      <c r="F771" s="251">
        <v>3000</v>
      </c>
      <c r="G771" s="256"/>
      <c r="H771" s="256"/>
      <c r="I771" s="256"/>
      <c r="J771" s="256"/>
      <c r="K771" s="256"/>
      <c r="L771" s="256"/>
      <c r="M771" s="256"/>
      <c r="N771" s="260">
        <v>36000</v>
      </c>
      <c r="O771" s="302"/>
      <c r="P771" s="302"/>
      <c r="Q771" s="302"/>
      <c r="R771" s="302"/>
      <c r="S771" s="252">
        <f t="shared" si="36"/>
        <v>36000</v>
      </c>
      <c r="T771" s="257">
        <f t="shared" si="37"/>
        <v>0</v>
      </c>
      <c r="AM771" s="259"/>
    </row>
    <row r="772" spans="1:39" s="258" customFormat="1" ht="48.75" customHeight="1" x14ac:dyDescent="0.45">
      <c r="A772" s="313"/>
      <c r="B772" s="253"/>
      <c r="C772" s="38"/>
      <c r="D772" s="38"/>
      <c r="E772" s="254">
        <v>2019</v>
      </c>
      <c r="F772" s="251">
        <v>3000</v>
      </c>
      <c r="G772" s="260">
        <v>3000</v>
      </c>
      <c r="H772" s="256"/>
      <c r="I772" s="256"/>
      <c r="J772" s="256"/>
      <c r="K772" s="256"/>
      <c r="L772" s="256"/>
      <c r="M772" s="256"/>
      <c r="N772" s="256"/>
      <c r="O772" s="302"/>
      <c r="P772" s="302"/>
      <c r="Q772" s="316">
        <v>27000</v>
      </c>
      <c r="R772" s="302"/>
      <c r="S772" s="252">
        <f t="shared" si="36"/>
        <v>30000</v>
      </c>
      <c r="T772" s="257">
        <f t="shared" si="37"/>
        <v>6000</v>
      </c>
      <c r="AM772" s="259"/>
    </row>
    <row r="773" spans="1:39" s="258" customFormat="1" ht="48.75" customHeight="1" x14ac:dyDescent="0.45">
      <c r="A773" s="311"/>
      <c r="B773" s="253"/>
      <c r="C773" s="38"/>
      <c r="D773" s="38"/>
      <c r="E773" s="254">
        <v>2018</v>
      </c>
      <c r="F773" s="251">
        <v>3000</v>
      </c>
      <c r="G773" s="260">
        <v>3000</v>
      </c>
      <c r="H773" s="260">
        <v>3000</v>
      </c>
      <c r="I773" s="260">
        <v>3000</v>
      </c>
      <c r="J773" s="260">
        <v>3000</v>
      </c>
      <c r="K773" s="260">
        <v>3000</v>
      </c>
      <c r="L773" s="260">
        <v>3000</v>
      </c>
      <c r="M773" s="260">
        <v>3000</v>
      </c>
      <c r="N773" s="260">
        <v>3000</v>
      </c>
      <c r="O773" s="260">
        <v>3000</v>
      </c>
      <c r="P773" s="260">
        <v>3000</v>
      </c>
      <c r="Q773" s="260">
        <v>3000</v>
      </c>
      <c r="R773" s="260">
        <v>3000</v>
      </c>
      <c r="S773" s="252">
        <f t="shared" si="36"/>
        <v>36000</v>
      </c>
      <c r="T773" s="257">
        <f t="shared" si="37"/>
        <v>0</v>
      </c>
      <c r="AM773" s="259"/>
    </row>
    <row r="774" spans="1:39" s="258" customFormat="1" ht="48.75" customHeight="1" x14ac:dyDescent="0.45">
      <c r="A774" s="309"/>
      <c r="B774" s="253"/>
      <c r="C774" s="38"/>
      <c r="D774" s="38"/>
      <c r="E774" s="254">
        <v>2017</v>
      </c>
      <c r="F774" s="251">
        <v>3000</v>
      </c>
      <c r="G774" s="260">
        <v>3000</v>
      </c>
      <c r="H774" s="260">
        <v>3000</v>
      </c>
      <c r="I774" s="260">
        <v>3000</v>
      </c>
      <c r="J774" s="260">
        <v>3000</v>
      </c>
      <c r="K774" s="260">
        <v>3000</v>
      </c>
      <c r="L774" s="260">
        <v>3000</v>
      </c>
      <c r="M774" s="260">
        <v>3000</v>
      </c>
      <c r="N774" s="260">
        <v>3000</v>
      </c>
      <c r="O774" s="260">
        <v>3000</v>
      </c>
      <c r="P774" s="260">
        <v>3000</v>
      </c>
      <c r="Q774" s="260">
        <v>3000</v>
      </c>
      <c r="R774" s="260">
        <v>3000</v>
      </c>
      <c r="S774" s="252">
        <f t="shared" si="36"/>
        <v>36000</v>
      </c>
      <c r="T774" s="257">
        <f t="shared" si="37"/>
        <v>0</v>
      </c>
      <c r="AM774" s="259"/>
    </row>
    <row r="775" spans="1:39" s="258" customFormat="1" ht="48.75" customHeight="1" x14ac:dyDescent="0.45">
      <c r="A775" s="309"/>
      <c r="B775" s="253"/>
      <c r="C775" s="38"/>
      <c r="D775" s="38"/>
      <c r="E775" s="254">
        <v>2016</v>
      </c>
      <c r="F775" s="251">
        <v>3000</v>
      </c>
      <c r="G775" s="260">
        <v>3000</v>
      </c>
      <c r="H775" s="260">
        <v>3000</v>
      </c>
      <c r="I775" s="260">
        <v>3000</v>
      </c>
      <c r="J775" s="260">
        <v>3000</v>
      </c>
      <c r="K775" s="260">
        <v>3000</v>
      </c>
      <c r="L775" s="260">
        <v>3000</v>
      </c>
      <c r="M775" s="260">
        <v>3000</v>
      </c>
      <c r="N775" s="260">
        <v>3000</v>
      </c>
      <c r="O775" s="260">
        <v>3000</v>
      </c>
      <c r="P775" s="260">
        <v>3000</v>
      </c>
      <c r="Q775" s="260">
        <v>3000</v>
      </c>
      <c r="R775" s="260">
        <v>3000</v>
      </c>
      <c r="S775" s="252">
        <f t="shared" si="36"/>
        <v>36000</v>
      </c>
      <c r="T775" s="257">
        <f t="shared" si="37"/>
        <v>0</v>
      </c>
      <c r="AM775" s="259"/>
    </row>
    <row r="776" spans="1:39" s="258" customFormat="1" ht="48.75" customHeight="1" x14ac:dyDescent="0.45">
      <c r="A776" s="317"/>
      <c r="B776" s="253"/>
      <c r="C776" s="38"/>
      <c r="D776" s="38"/>
      <c r="E776" s="254">
        <v>2015</v>
      </c>
      <c r="F776" s="251">
        <v>3000</v>
      </c>
      <c r="G776" s="260">
        <v>3000</v>
      </c>
      <c r="H776" s="260">
        <v>3000</v>
      </c>
      <c r="I776" s="260">
        <v>3000</v>
      </c>
      <c r="J776" s="260">
        <v>3000</v>
      </c>
      <c r="K776" s="260">
        <v>3000</v>
      </c>
      <c r="L776" s="260">
        <v>3000</v>
      </c>
      <c r="M776" s="260">
        <v>3000</v>
      </c>
      <c r="N776" s="260">
        <v>3000</v>
      </c>
      <c r="O776" s="260">
        <v>3000</v>
      </c>
      <c r="P776" s="260">
        <v>3000</v>
      </c>
      <c r="Q776" s="260">
        <v>3000</v>
      </c>
      <c r="R776" s="260">
        <v>3000</v>
      </c>
      <c r="S776" s="252">
        <f t="shared" si="36"/>
        <v>36000</v>
      </c>
      <c r="T776" s="257">
        <f t="shared" si="37"/>
        <v>0</v>
      </c>
      <c r="AM776" s="259"/>
    </row>
    <row r="777" spans="1:39" s="258" customFormat="1" ht="48.75" customHeight="1" thickBot="1" x14ac:dyDescent="0.5">
      <c r="A777" s="253"/>
      <c r="B777" s="253"/>
      <c r="C777" s="253"/>
      <c r="D777" s="68"/>
      <c r="E777" s="264"/>
      <c r="F777" s="265"/>
      <c r="G777" s="266"/>
      <c r="H777" s="266"/>
      <c r="I777" s="266"/>
      <c r="J777" s="266"/>
      <c r="K777" s="266"/>
      <c r="L777" s="266"/>
      <c r="M777" s="266"/>
      <c r="N777" s="266"/>
      <c r="O777" s="266"/>
      <c r="P777" s="266"/>
      <c r="Q777" s="266"/>
      <c r="R777" s="266"/>
      <c r="S777" s="267">
        <f>SUM(S766:S776)</f>
        <v>348000</v>
      </c>
      <c r="T777" s="268">
        <f>SUM(T766:T776)</f>
        <v>204000</v>
      </c>
      <c r="AM777" s="259"/>
    </row>
    <row r="778" spans="1:39" s="258" customFormat="1" ht="48.75" customHeight="1" x14ac:dyDescent="0.45">
      <c r="A778" s="253"/>
      <c r="B778" s="253"/>
      <c r="C778" s="253"/>
      <c r="D778" s="68"/>
      <c r="E778" s="253"/>
      <c r="F778" s="253"/>
      <c r="G778" s="253"/>
      <c r="H778" s="253"/>
      <c r="I778" s="253"/>
      <c r="J778" s="253"/>
      <c r="K778" s="253"/>
      <c r="L778" s="253"/>
      <c r="M778" s="253"/>
      <c r="N778" s="253"/>
      <c r="O778" s="253"/>
      <c r="P778" s="253"/>
      <c r="Q778" s="253"/>
      <c r="R778" s="253"/>
      <c r="S778" s="269"/>
      <c r="T778" s="269"/>
      <c r="AM778" s="259"/>
    </row>
    <row r="779" spans="1:39" s="245" customFormat="1" ht="61.5" customHeight="1" x14ac:dyDescent="0.5">
      <c r="A779" s="55" t="s">
        <v>31</v>
      </c>
      <c r="B779" s="241" t="s">
        <v>7</v>
      </c>
      <c r="C779" s="242" t="s">
        <v>32</v>
      </c>
      <c r="D779" s="243" t="s">
        <v>33</v>
      </c>
      <c r="E779" s="242" t="s">
        <v>34</v>
      </c>
      <c r="F779" s="244" t="s">
        <v>11</v>
      </c>
      <c r="G779" s="244" t="s">
        <v>12</v>
      </c>
      <c r="H779" s="244" t="s">
        <v>13</v>
      </c>
      <c r="I779" s="244" t="s">
        <v>14</v>
      </c>
      <c r="J779" s="244" t="s">
        <v>15</v>
      </c>
      <c r="K779" s="244" t="s">
        <v>16</v>
      </c>
      <c r="L779" s="244" t="s">
        <v>17</v>
      </c>
      <c r="M779" s="244" t="s">
        <v>18</v>
      </c>
      <c r="N779" s="244" t="s">
        <v>19</v>
      </c>
      <c r="O779" s="244" t="s">
        <v>20</v>
      </c>
      <c r="P779" s="244" t="s">
        <v>21</v>
      </c>
      <c r="Q779" s="244" t="s">
        <v>22</v>
      </c>
      <c r="R779" s="244" t="s">
        <v>23</v>
      </c>
      <c r="S779" s="20" t="s">
        <v>24</v>
      </c>
      <c r="T779" s="20" t="s">
        <v>25</v>
      </c>
      <c r="AM779" s="246"/>
    </row>
    <row r="780" spans="1:39" ht="51.75" customHeight="1" x14ac:dyDescent="0.25">
      <c r="A780" s="307">
        <v>14</v>
      </c>
      <c r="B780" s="17"/>
      <c r="C780" s="279" t="s">
        <v>124</v>
      </c>
      <c r="D780" s="19"/>
      <c r="E780" s="26">
        <v>2025</v>
      </c>
      <c r="F780" s="27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318">
        <f t="shared" ref="S780" si="38">SUM(G780:R780)</f>
        <v>0</v>
      </c>
      <c r="T780" s="29">
        <f>SUM(F780*IF(E780=_current_year,_current_month,12)-(S780))</f>
        <v>0</v>
      </c>
    </row>
    <row r="781" spans="1:39" ht="51.75" customHeight="1" x14ac:dyDescent="0.25">
      <c r="A781" s="307"/>
      <c r="B781" s="17"/>
      <c r="C781" s="279"/>
      <c r="D781" s="19"/>
      <c r="E781" s="306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5"/>
    </row>
    <row r="782" spans="1:39" ht="51.75" customHeight="1" x14ac:dyDescent="0.25">
      <c r="A782" s="307"/>
      <c r="B782" s="17"/>
      <c r="C782" s="279"/>
      <c r="D782" s="19"/>
      <c r="E782" s="77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9"/>
    </row>
    <row r="783" spans="1:39" s="220" customFormat="1" ht="48" customHeight="1" x14ac:dyDescent="0.4">
      <c r="A783" s="307"/>
      <c r="B783" s="33" t="s">
        <v>28</v>
      </c>
      <c r="C783" s="279"/>
      <c r="D783" s="35"/>
      <c r="E783" s="77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9"/>
      <c r="AM783" s="250"/>
    </row>
    <row r="784" spans="1:39" s="220" customFormat="1" ht="48.75" customHeight="1" x14ac:dyDescent="0.4">
      <c r="A784" s="307"/>
      <c r="B784" s="33" t="s">
        <v>28</v>
      </c>
      <c r="C784" s="38" t="s">
        <v>52</v>
      </c>
      <c r="D784" s="38"/>
      <c r="E784" s="77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9"/>
      <c r="AM784" s="250"/>
    </row>
    <row r="785" spans="1:39" s="258" customFormat="1" ht="48.75" customHeight="1" x14ac:dyDescent="0.45">
      <c r="A785" s="313" t="s">
        <v>167</v>
      </c>
      <c r="B785" s="253" t="s">
        <v>28</v>
      </c>
      <c r="C785" s="38"/>
      <c r="D785" s="38"/>
      <c r="E785" s="77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9"/>
      <c r="AM785" s="259"/>
    </row>
    <row r="786" spans="1:39" s="258" customFormat="1" ht="48.75" customHeight="1" x14ac:dyDescent="0.45">
      <c r="A786" s="313"/>
      <c r="B786" s="253"/>
      <c r="C786" s="38"/>
      <c r="D786" s="38"/>
      <c r="E786" s="77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9"/>
      <c r="AM786" s="259"/>
    </row>
    <row r="787" spans="1:39" s="258" customFormat="1" ht="48.75" customHeight="1" x14ac:dyDescent="0.45">
      <c r="A787" s="300"/>
      <c r="B787" s="253"/>
      <c r="C787" s="38"/>
      <c r="D787" s="38"/>
      <c r="E787" s="77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9"/>
      <c r="AM787" s="259"/>
    </row>
    <row r="788" spans="1:39" s="258" customFormat="1" ht="48.75" customHeight="1" x14ac:dyDescent="0.45">
      <c r="A788" s="300"/>
      <c r="B788" s="253"/>
      <c r="C788" s="38"/>
      <c r="D788" s="38"/>
      <c r="E788" s="167"/>
      <c r="F788" s="168"/>
      <c r="G788" s="168"/>
      <c r="H788" s="168"/>
      <c r="I788" s="168"/>
      <c r="J788" s="168"/>
      <c r="K788" s="168"/>
      <c r="L788" s="168"/>
      <c r="M788" s="168"/>
      <c r="N788" s="168"/>
      <c r="O788" s="168"/>
      <c r="P788" s="168"/>
      <c r="Q788" s="168"/>
      <c r="R788" s="168"/>
      <c r="S788" s="168"/>
      <c r="T788" s="169"/>
      <c r="AM788" s="259"/>
    </row>
    <row r="789" spans="1:39" s="258" customFormat="1" ht="48.75" customHeight="1" thickBot="1" x14ac:dyDescent="0.5">
      <c r="A789" s="278"/>
      <c r="B789" s="253"/>
      <c r="C789" s="253"/>
      <c r="D789" s="68"/>
      <c r="E789" s="264"/>
      <c r="F789" s="265"/>
      <c r="G789" s="266"/>
      <c r="H789" s="266"/>
      <c r="I789" s="266"/>
      <c r="J789" s="266"/>
      <c r="K789" s="266"/>
      <c r="L789" s="266"/>
      <c r="M789" s="266"/>
      <c r="N789" s="266"/>
      <c r="O789" s="266"/>
      <c r="P789" s="266"/>
      <c r="Q789" s="266"/>
      <c r="R789" s="266"/>
      <c r="S789" s="267">
        <f>SUM(S780:S788)</f>
        <v>0</v>
      </c>
      <c r="T789" s="268">
        <f>SUM(T780:T788)</f>
        <v>0</v>
      </c>
      <c r="AM789" s="259"/>
    </row>
    <row r="790" spans="1:39" s="258" customFormat="1" ht="48.75" customHeight="1" x14ac:dyDescent="0.45">
      <c r="A790" s="253"/>
      <c r="B790" s="253"/>
      <c r="C790" s="253"/>
      <c r="D790" s="68"/>
      <c r="E790" s="253"/>
      <c r="F790" s="253"/>
      <c r="G790" s="253"/>
      <c r="H790" s="253"/>
      <c r="I790" s="253"/>
      <c r="J790" s="253"/>
      <c r="K790" s="253"/>
      <c r="L790" s="253"/>
      <c r="M790" s="253"/>
      <c r="N790" s="253"/>
      <c r="O790" s="253"/>
      <c r="P790" s="253"/>
      <c r="Q790" s="253"/>
      <c r="R790" s="253"/>
      <c r="S790" s="269"/>
      <c r="T790" s="269"/>
      <c r="AM790" s="259"/>
    </row>
    <row r="791" spans="1:39" s="245" customFormat="1" ht="48.75" customHeight="1" x14ac:dyDescent="0.5">
      <c r="A791" s="55" t="s">
        <v>31</v>
      </c>
      <c r="B791" s="241" t="s">
        <v>7</v>
      </c>
      <c r="C791" s="242" t="s">
        <v>32</v>
      </c>
      <c r="D791" s="243" t="s">
        <v>33</v>
      </c>
      <c r="E791" s="242" t="s">
        <v>34</v>
      </c>
      <c r="F791" s="319" t="s">
        <v>11</v>
      </c>
      <c r="G791" s="319" t="s">
        <v>12</v>
      </c>
      <c r="H791" s="319" t="s">
        <v>13</v>
      </c>
      <c r="I791" s="319" t="s">
        <v>14</v>
      </c>
      <c r="J791" s="319" t="s">
        <v>15</v>
      </c>
      <c r="K791" s="319" t="s">
        <v>16</v>
      </c>
      <c r="L791" s="319" t="s">
        <v>17</v>
      </c>
      <c r="M791" s="319" t="s">
        <v>18</v>
      </c>
      <c r="N791" s="319" t="s">
        <v>19</v>
      </c>
      <c r="O791" s="319" t="s">
        <v>20</v>
      </c>
      <c r="P791" s="319" t="s">
        <v>21</v>
      </c>
      <c r="Q791" s="319" t="s">
        <v>22</v>
      </c>
      <c r="R791" s="319" t="s">
        <v>23</v>
      </c>
      <c r="S791" s="20" t="s">
        <v>24</v>
      </c>
      <c r="T791" s="20" t="s">
        <v>25</v>
      </c>
      <c r="AM791" s="246"/>
    </row>
    <row r="792" spans="1:39" ht="48.75" customHeight="1" x14ac:dyDescent="0.25">
      <c r="A792" s="307">
        <v>16</v>
      </c>
      <c r="B792" s="17"/>
      <c r="C792" s="312" t="s">
        <v>203</v>
      </c>
      <c r="D792" s="19"/>
      <c r="E792" s="26">
        <v>2025</v>
      </c>
      <c r="F792" s="27">
        <v>10000</v>
      </c>
      <c r="G792" s="159"/>
      <c r="H792" s="159"/>
      <c r="I792" s="159"/>
      <c r="J792" s="159"/>
      <c r="K792" s="159"/>
      <c r="L792" s="159"/>
      <c r="M792" s="159"/>
      <c r="N792" s="159"/>
      <c r="O792" s="159"/>
      <c r="P792" s="159"/>
      <c r="Q792" s="159"/>
      <c r="R792" s="159"/>
      <c r="S792" s="64">
        <f>SUM(G792:R792)</f>
        <v>0</v>
      </c>
      <c r="T792" s="29">
        <v>0</v>
      </c>
    </row>
    <row r="793" spans="1:39" ht="48.75" customHeight="1" x14ac:dyDescent="0.25">
      <c r="A793" s="320"/>
      <c r="B793" s="17"/>
      <c r="C793" s="85"/>
      <c r="D793" s="19"/>
      <c r="E793" s="30"/>
      <c r="F793" s="27"/>
      <c r="G793" s="321" t="s">
        <v>204</v>
      </c>
      <c r="H793" s="322"/>
      <c r="I793" s="322"/>
      <c r="J793" s="322"/>
      <c r="K793" s="322"/>
      <c r="L793" s="322"/>
      <c r="M793" s="322"/>
      <c r="N793" s="322"/>
      <c r="O793" s="322"/>
      <c r="P793" s="322"/>
      <c r="Q793" s="322"/>
      <c r="R793" s="323"/>
      <c r="S793" s="37"/>
      <c r="T793" s="159"/>
    </row>
    <row r="794" spans="1:39" ht="48.75" customHeight="1" x14ac:dyDescent="0.25">
      <c r="A794" s="320"/>
      <c r="B794" s="17"/>
      <c r="C794" s="85"/>
      <c r="D794" s="19"/>
      <c r="E794" s="324" t="s">
        <v>205</v>
      </c>
      <c r="F794" s="325"/>
      <c r="G794" s="325"/>
      <c r="H794" s="325"/>
      <c r="I794" s="325"/>
      <c r="J794" s="325"/>
      <c r="K794" s="325"/>
      <c r="L794" s="325"/>
      <c r="M794" s="325"/>
      <c r="N794" s="325"/>
      <c r="O794" s="325"/>
      <c r="P794" s="325"/>
      <c r="Q794" s="325"/>
      <c r="R794" s="325"/>
      <c r="S794" s="325"/>
      <c r="T794" s="326"/>
    </row>
    <row r="795" spans="1:39" s="220" customFormat="1" ht="48.75" customHeight="1" x14ac:dyDescent="0.4">
      <c r="A795" s="320"/>
      <c r="B795" s="33" t="s">
        <v>28</v>
      </c>
      <c r="D795" s="35"/>
      <c r="E795" s="327"/>
      <c r="F795" s="328"/>
      <c r="G795" s="328"/>
      <c r="H795" s="328"/>
      <c r="I795" s="328"/>
      <c r="J795" s="328"/>
      <c r="K795" s="328"/>
      <c r="L795" s="328"/>
      <c r="M795" s="328"/>
      <c r="N795" s="328"/>
      <c r="O795" s="328"/>
      <c r="P795" s="328"/>
      <c r="Q795" s="328"/>
      <c r="R795" s="328"/>
      <c r="S795" s="328"/>
      <c r="T795" s="329"/>
      <c r="AM795" s="250"/>
    </row>
    <row r="796" spans="1:39" s="220" customFormat="1" ht="48.75" customHeight="1" x14ac:dyDescent="0.4">
      <c r="A796" s="313" t="s">
        <v>167</v>
      </c>
      <c r="B796" s="33" t="s">
        <v>28</v>
      </c>
      <c r="C796" s="80" t="s">
        <v>52</v>
      </c>
      <c r="D796" s="80"/>
      <c r="E796" s="327"/>
      <c r="F796" s="328"/>
      <c r="G796" s="328"/>
      <c r="H796" s="328"/>
      <c r="I796" s="328"/>
      <c r="J796" s="328"/>
      <c r="K796" s="328"/>
      <c r="L796" s="328"/>
      <c r="M796" s="328"/>
      <c r="N796" s="328"/>
      <c r="O796" s="328"/>
      <c r="P796" s="328"/>
      <c r="Q796" s="328"/>
      <c r="R796" s="328"/>
      <c r="S796" s="328"/>
      <c r="T796" s="329"/>
      <c r="AM796" s="250"/>
    </row>
    <row r="797" spans="1:39" s="258" customFormat="1" ht="48.75" customHeight="1" x14ac:dyDescent="0.45">
      <c r="A797" s="313"/>
      <c r="B797" s="253" t="s">
        <v>28</v>
      </c>
      <c r="C797" s="82"/>
      <c r="D797" s="82"/>
      <c r="E797" s="330"/>
      <c r="F797" s="331"/>
      <c r="G797" s="331"/>
      <c r="H797" s="331"/>
      <c r="I797" s="331"/>
      <c r="J797" s="331"/>
      <c r="K797" s="331"/>
      <c r="L797" s="331"/>
      <c r="M797" s="331"/>
      <c r="N797" s="331"/>
      <c r="O797" s="331"/>
      <c r="P797" s="331"/>
      <c r="Q797" s="331"/>
      <c r="R797" s="331"/>
      <c r="S797" s="331"/>
      <c r="T797" s="332"/>
      <c r="AM797" s="259"/>
    </row>
    <row r="798" spans="1:39" s="258" customFormat="1" ht="48.75" customHeight="1" thickBot="1" x14ac:dyDescent="0.5">
      <c r="A798" s="253"/>
      <c r="B798" s="253"/>
      <c r="C798" s="82"/>
      <c r="D798" s="82"/>
      <c r="E798" s="264"/>
      <c r="F798" s="265"/>
      <c r="G798" s="333"/>
      <c r="H798" s="333"/>
      <c r="I798" s="333"/>
      <c r="J798" s="333"/>
      <c r="K798" s="333"/>
      <c r="L798" s="333"/>
      <c r="M798" s="333"/>
      <c r="N798" s="333"/>
      <c r="O798" s="333"/>
      <c r="P798" s="333"/>
      <c r="Q798" s="333"/>
      <c r="R798" s="333"/>
      <c r="S798" s="334">
        <f>SUM(S792:S797)</f>
        <v>0</v>
      </c>
      <c r="T798" s="268">
        <f>SUM(T792:T797)</f>
        <v>0</v>
      </c>
      <c r="AM798" s="259"/>
    </row>
    <row r="799" spans="1:39" s="258" customFormat="1" ht="48.75" customHeight="1" x14ac:dyDescent="0.45">
      <c r="A799" s="253"/>
      <c r="B799" s="253"/>
      <c r="C799" s="253"/>
      <c r="D799" s="68"/>
      <c r="E799" s="253"/>
      <c r="F799" s="253"/>
      <c r="G799" s="253"/>
      <c r="H799" s="253"/>
      <c r="I799" s="253"/>
      <c r="J799" s="253"/>
      <c r="K799" s="253"/>
      <c r="L799" s="253"/>
      <c r="M799" s="253"/>
      <c r="N799" s="253"/>
      <c r="O799" s="253"/>
      <c r="P799" s="253"/>
      <c r="Q799" s="253"/>
      <c r="R799" s="253"/>
      <c r="S799" s="335"/>
      <c r="T799" s="335"/>
      <c r="AM799" s="259"/>
    </row>
    <row r="800" spans="1:39" s="245" customFormat="1" ht="59.25" customHeight="1" x14ac:dyDescent="0.5">
      <c r="A800" s="55" t="s">
        <v>31</v>
      </c>
      <c r="B800" s="241" t="s">
        <v>7</v>
      </c>
      <c r="C800" s="242" t="s">
        <v>32</v>
      </c>
      <c r="D800" s="243" t="s">
        <v>33</v>
      </c>
      <c r="E800" s="242" t="s">
        <v>34</v>
      </c>
      <c r="F800" s="244" t="s">
        <v>11</v>
      </c>
      <c r="G800" s="244" t="s">
        <v>12</v>
      </c>
      <c r="H800" s="244" t="s">
        <v>13</v>
      </c>
      <c r="I800" s="244" t="s">
        <v>14</v>
      </c>
      <c r="J800" s="244" t="s">
        <v>15</v>
      </c>
      <c r="K800" s="244" t="s">
        <v>16</v>
      </c>
      <c r="L800" s="244" t="s">
        <v>17</v>
      </c>
      <c r="M800" s="244" t="s">
        <v>18</v>
      </c>
      <c r="N800" s="244" t="s">
        <v>19</v>
      </c>
      <c r="O800" s="244" t="s">
        <v>20</v>
      </c>
      <c r="P800" s="244" t="s">
        <v>21</v>
      </c>
      <c r="Q800" s="244" t="s">
        <v>22</v>
      </c>
      <c r="R800" s="244" t="s">
        <v>23</v>
      </c>
      <c r="S800" s="20" t="s">
        <v>24</v>
      </c>
      <c r="T800" s="20" t="s">
        <v>25</v>
      </c>
      <c r="AM800" s="246"/>
    </row>
    <row r="801" spans="1:39" ht="51.75" customHeight="1" x14ac:dyDescent="0.25">
      <c r="A801" s="307">
        <v>16</v>
      </c>
      <c r="B801" s="17"/>
      <c r="C801" s="247" t="s">
        <v>206</v>
      </c>
      <c r="D801" s="19"/>
      <c r="E801" s="26">
        <v>2025</v>
      </c>
      <c r="F801" s="27">
        <v>5000</v>
      </c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64">
        <f t="shared" ref="S801" si="39">SUM(G801:R801)</f>
        <v>0</v>
      </c>
      <c r="T801" s="29">
        <f>SUM(F801*IF(E801=_current_year,_current_month,12)-(S801))</f>
        <v>60000</v>
      </c>
    </row>
    <row r="802" spans="1:39" ht="51.75" customHeight="1" x14ac:dyDescent="0.6">
      <c r="A802" s="307"/>
      <c r="B802" s="17"/>
      <c r="C802" s="308"/>
      <c r="D802" s="19"/>
      <c r="E802" s="30">
        <v>2024</v>
      </c>
      <c r="F802" s="27">
        <v>3000</v>
      </c>
      <c r="G802" s="159"/>
      <c r="H802" s="159"/>
      <c r="I802" s="159"/>
      <c r="J802" s="159"/>
      <c r="L802" s="159"/>
      <c r="M802" s="159"/>
      <c r="N802" s="159"/>
      <c r="O802" s="159"/>
      <c r="P802" s="159"/>
      <c r="Q802" s="159"/>
      <c r="R802" s="336">
        <v>60000</v>
      </c>
      <c r="S802" s="37">
        <f>SUM(G802:R802)</f>
        <v>60000</v>
      </c>
      <c r="T802" s="22">
        <f>SUM(F802*IF(E802=_current_year,_current_month,0)-(S802))</f>
        <v>-60000</v>
      </c>
    </row>
    <row r="803" spans="1:39" ht="51.75" customHeight="1" x14ac:dyDescent="0.25">
      <c r="A803" s="307"/>
      <c r="B803" s="17"/>
      <c r="C803" s="85" t="s">
        <v>207</v>
      </c>
      <c r="D803" s="19"/>
      <c r="E803" s="324"/>
      <c r="F803" s="324"/>
      <c r="G803" s="324"/>
      <c r="H803" s="324"/>
      <c r="I803" s="324"/>
      <c r="J803" s="324"/>
      <c r="K803" s="324"/>
      <c r="L803" s="324"/>
      <c r="M803" s="324"/>
      <c r="N803" s="324"/>
      <c r="O803" s="324"/>
      <c r="P803" s="324"/>
      <c r="Q803" s="324"/>
      <c r="R803" s="324"/>
      <c r="S803" s="324"/>
      <c r="T803" s="324"/>
    </row>
    <row r="804" spans="1:39" s="220" customFormat="1" ht="48" customHeight="1" x14ac:dyDescent="0.4">
      <c r="A804" s="307"/>
      <c r="B804" s="33" t="s">
        <v>28</v>
      </c>
      <c r="D804" s="35"/>
      <c r="E804" s="324"/>
      <c r="F804" s="324"/>
      <c r="G804" s="324"/>
      <c r="H804" s="324"/>
      <c r="I804" s="324"/>
      <c r="J804" s="324"/>
      <c r="K804" s="324"/>
      <c r="L804" s="324"/>
      <c r="M804" s="324"/>
      <c r="N804" s="324"/>
      <c r="O804" s="324"/>
      <c r="P804" s="324"/>
      <c r="Q804" s="324"/>
      <c r="R804" s="324"/>
      <c r="S804" s="324"/>
      <c r="T804" s="324"/>
      <c r="AM804" s="250"/>
    </row>
    <row r="805" spans="1:39" s="220" customFormat="1" ht="48.75" customHeight="1" x14ac:dyDescent="0.4">
      <c r="A805" s="313" t="s">
        <v>167</v>
      </c>
      <c r="B805" s="33" t="s">
        <v>28</v>
      </c>
      <c r="C805" s="80" t="s">
        <v>52</v>
      </c>
      <c r="D805" s="80"/>
      <c r="E805" s="324"/>
      <c r="F805" s="324"/>
      <c r="G805" s="324"/>
      <c r="H805" s="324"/>
      <c r="I805" s="324"/>
      <c r="J805" s="324"/>
      <c r="K805" s="324"/>
      <c r="L805" s="324"/>
      <c r="M805" s="324"/>
      <c r="N805" s="324"/>
      <c r="O805" s="324"/>
      <c r="P805" s="324"/>
      <c r="Q805" s="324"/>
      <c r="R805" s="324"/>
      <c r="S805" s="324"/>
      <c r="T805" s="324"/>
      <c r="AM805" s="250"/>
    </row>
    <row r="806" spans="1:39" s="258" customFormat="1" ht="48.75" customHeight="1" x14ac:dyDescent="0.45">
      <c r="A806" s="313"/>
      <c r="B806" s="253" t="s">
        <v>28</v>
      </c>
      <c r="C806" s="80"/>
      <c r="D806" s="80"/>
      <c r="E806" s="324"/>
      <c r="F806" s="324"/>
      <c r="G806" s="324"/>
      <c r="H806" s="324"/>
      <c r="I806" s="324"/>
      <c r="J806" s="324"/>
      <c r="K806" s="324"/>
      <c r="L806" s="324"/>
      <c r="M806" s="324"/>
      <c r="N806" s="324"/>
      <c r="O806" s="324"/>
      <c r="P806" s="324"/>
      <c r="Q806" s="324"/>
      <c r="R806" s="324"/>
      <c r="S806" s="324"/>
      <c r="T806" s="324"/>
      <c r="AM806" s="259"/>
    </row>
    <row r="807" spans="1:39" s="258" customFormat="1" ht="48.75" customHeight="1" thickBot="1" x14ac:dyDescent="0.5">
      <c r="A807" s="253"/>
      <c r="B807" s="253"/>
      <c r="C807" s="80"/>
      <c r="D807" s="80"/>
      <c r="E807" s="264"/>
      <c r="F807" s="265"/>
      <c r="G807" s="266"/>
      <c r="H807" s="266"/>
      <c r="I807" s="266"/>
      <c r="J807" s="266"/>
      <c r="K807" s="266"/>
      <c r="L807" s="266"/>
      <c r="M807" s="266"/>
      <c r="N807" s="266"/>
      <c r="O807" s="266"/>
      <c r="P807" s="266"/>
      <c r="Q807" s="266"/>
      <c r="R807" s="266"/>
      <c r="S807" s="267">
        <f>SUM(S801:S806)</f>
        <v>60000</v>
      </c>
      <c r="T807" s="268">
        <f>SUM(T801:T806)</f>
        <v>0</v>
      </c>
      <c r="AM807" s="259"/>
    </row>
    <row r="808" spans="1:39" s="258" customFormat="1" ht="48.75" customHeight="1" x14ac:dyDescent="0.45">
      <c r="A808" s="253"/>
      <c r="B808" s="253"/>
      <c r="C808" s="253"/>
      <c r="D808" s="68"/>
      <c r="E808" s="253"/>
      <c r="F808" s="253"/>
      <c r="G808" s="253"/>
      <c r="H808" s="253"/>
      <c r="I808" s="253"/>
      <c r="J808" s="253"/>
      <c r="K808" s="253"/>
      <c r="L808" s="253"/>
      <c r="M808" s="253"/>
      <c r="N808" s="253"/>
      <c r="O808" s="253"/>
      <c r="P808" s="253"/>
      <c r="Q808" s="253"/>
      <c r="R808" s="253"/>
      <c r="S808" s="269"/>
      <c r="T808" s="269"/>
      <c r="AM808" s="259"/>
    </row>
    <row r="809" spans="1:39" s="245" customFormat="1" ht="48.75" customHeight="1" x14ac:dyDescent="0.5">
      <c r="A809" s="55" t="s">
        <v>31</v>
      </c>
      <c r="B809" s="241" t="s">
        <v>7</v>
      </c>
      <c r="C809" s="242" t="s">
        <v>32</v>
      </c>
      <c r="D809" s="243" t="s">
        <v>33</v>
      </c>
      <c r="E809" s="242" t="s">
        <v>34</v>
      </c>
      <c r="F809" s="319" t="s">
        <v>11</v>
      </c>
      <c r="G809" s="319" t="s">
        <v>12</v>
      </c>
      <c r="H809" s="319" t="s">
        <v>13</v>
      </c>
      <c r="I809" s="319" t="s">
        <v>14</v>
      </c>
      <c r="J809" s="319" t="s">
        <v>15</v>
      </c>
      <c r="K809" s="319" t="s">
        <v>16</v>
      </c>
      <c r="L809" s="319" t="s">
        <v>17</v>
      </c>
      <c r="M809" s="319" t="s">
        <v>18</v>
      </c>
      <c r="N809" s="319" t="s">
        <v>19</v>
      </c>
      <c r="O809" s="319" t="s">
        <v>20</v>
      </c>
      <c r="P809" s="319" t="s">
        <v>21</v>
      </c>
      <c r="Q809" s="319" t="s">
        <v>22</v>
      </c>
      <c r="R809" s="319" t="s">
        <v>23</v>
      </c>
      <c r="S809" s="20" t="s">
        <v>24</v>
      </c>
      <c r="T809" s="20" t="s">
        <v>25</v>
      </c>
      <c r="AM809" s="246"/>
    </row>
    <row r="810" spans="1:39" ht="48.75" customHeight="1" x14ac:dyDescent="0.25">
      <c r="A810" s="307" t="s">
        <v>208</v>
      </c>
      <c r="B810" s="17"/>
      <c r="C810" s="279" t="s">
        <v>209</v>
      </c>
      <c r="D810" s="19"/>
      <c r="E810" s="26">
        <v>2025</v>
      </c>
      <c r="F810" s="27">
        <v>5000</v>
      </c>
      <c r="G810" s="336">
        <v>6000</v>
      </c>
      <c r="H810" s="159">
        <v>60000</v>
      </c>
      <c r="I810" s="159"/>
      <c r="J810" s="159"/>
      <c r="K810" s="159"/>
      <c r="L810" s="159"/>
      <c r="M810" s="159"/>
      <c r="N810" s="159"/>
      <c r="O810" s="159"/>
      <c r="P810" s="159"/>
      <c r="Q810" s="159"/>
      <c r="R810" s="159"/>
      <c r="S810" s="64">
        <f>SUM(G810:R810)</f>
        <v>66000</v>
      </c>
      <c r="T810" s="29">
        <f>SUM(F810*IF(E810=_current_year,_current_month,12)-(S810))</f>
        <v>-6000</v>
      </c>
    </row>
    <row r="811" spans="1:39" ht="48.75" customHeight="1" x14ac:dyDescent="0.6">
      <c r="A811" s="320"/>
      <c r="B811" s="17"/>
      <c r="C811" s="287"/>
      <c r="D811" s="19"/>
      <c r="E811" s="30"/>
      <c r="F811" s="27"/>
      <c r="G811" s="159"/>
      <c r="H811" s="159"/>
      <c r="I811" s="159"/>
      <c r="J811" s="159"/>
      <c r="L811" s="159"/>
      <c r="M811" s="159"/>
      <c r="N811" s="159"/>
      <c r="O811" s="159"/>
      <c r="P811" s="159"/>
      <c r="Q811" s="159"/>
      <c r="S811" s="37"/>
      <c r="T811" s="159"/>
    </row>
    <row r="812" spans="1:39" ht="48.75" customHeight="1" x14ac:dyDescent="0.25">
      <c r="A812" s="320"/>
      <c r="B812" s="17"/>
      <c r="C812" s="85"/>
      <c r="D812" s="19"/>
      <c r="E812" s="324" t="s">
        <v>210</v>
      </c>
      <c r="F812" s="325"/>
      <c r="G812" s="325"/>
      <c r="H812" s="325"/>
      <c r="I812" s="325"/>
      <c r="J812" s="325"/>
      <c r="K812" s="325"/>
      <c r="L812" s="325"/>
      <c r="M812" s="325"/>
      <c r="N812" s="325"/>
      <c r="O812" s="325"/>
      <c r="P812" s="325"/>
      <c r="Q812" s="325"/>
      <c r="R812" s="325"/>
      <c r="S812" s="325"/>
      <c r="T812" s="326"/>
    </row>
    <row r="813" spans="1:39" s="220" customFormat="1" ht="48.75" customHeight="1" x14ac:dyDescent="0.4">
      <c r="A813" s="320"/>
      <c r="B813" s="33" t="s">
        <v>28</v>
      </c>
      <c r="D813" s="35"/>
      <c r="E813" s="327"/>
      <c r="F813" s="328"/>
      <c r="G813" s="328"/>
      <c r="H813" s="328"/>
      <c r="I813" s="328"/>
      <c r="J813" s="328"/>
      <c r="K813" s="328"/>
      <c r="L813" s="328"/>
      <c r="M813" s="328"/>
      <c r="N813" s="328"/>
      <c r="O813" s="328"/>
      <c r="P813" s="328"/>
      <c r="Q813" s="328"/>
      <c r="R813" s="328"/>
      <c r="S813" s="328"/>
      <c r="T813" s="329"/>
      <c r="AM813" s="250"/>
    </row>
    <row r="814" spans="1:39" s="220" customFormat="1" ht="48.75" customHeight="1" x14ac:dyDescent="0.4">
      <c r="A814" s="313" t="s">
        <v>167</v>
      </c>
      <c r="B814" s="33" t="s">
        <v>28</v>
      </c>
      <c r="C814" s="80" t="s">
        <v>52</v>
      </c>
      <c r="D814" s="80"/>
      <c r="E814" s="327"/>
      <c r="F814" s="328"/>
      <c r="G814" s="328"/>
      <c r="H814" s="328"/>
      <c r="I814" s="328"/>
      <c r="J814" s="328"/>
      <c r="K814" s="328"/>
      <c r="L814" s="328"/>
      <c r="M814" s="328"/>
      <c r="N814" s="328"/>
      <c r="O814" s="328"/>
      <c r="P814" s="328"/>
      <c r="Q814" s="328"/>
      <c r="R814" s="328"/>
      <c r="S814" s="328"/>
      <c r="T814" s="329"/>
      <c r="AM814" s="250"/>
    </row>
    <row r="815" spans="1:39" s="258" customFormat="1" ht="48.75" customHeight="1" x14ac:dyDescent="0.45">
      <c r="A815" s="313"/>
      <c r="B815" s="253" t="s">
        <v>28</v>
      </c>
      <c r="C815" s="82"/>
      <c r="D815" s="82"/>
      <c r="E815" s="330"/>
      <c r="F815" s="331"/>
      <c r="G815" s="331"/>
      <c r="H815" s="331"/>
      <c r="I815" s="331"/>
      <c r="J815" s="331"/>
      <c r="K815" s="331"/>
      <c r="L815" s="331"/>
      <c r="M815" s="331"/>
      <c r="N815" s="331"/>
      <c r="O815" s="331"/>
      <c r="P815" s="331"/>
      <c r="Q815" s="331"/>
      <c r="R815" s="331"/>
      <c r="S815" s="331"/>
      <c r="T815" s="332"/>
      <c r="AM815" s="259"/>
    </row>
    <row r="816" spans="1:39" s="258" customFormat="1" ht="48.75" customHeight="1" thickBot="1" x14ac:dyDescent="0.5">
      <c r="A816" s="253"/>
      <c r="B816" s="253"/>
      <c r="C816" s="82"/>
      <c r="D816" s="82"/>
      <c r="E816" s="264"/>
      <c r="F816" s="265"/>
      <c r="G816" s="333"/>
      <c r="H816" s="333"/>
      <c r="I816" s="333"/>
      <c r="J816" s="333"/>
      <c r="K816" s="333"/>
      <c r="L816" s="333"/>
      <c r="M816" s="333"/>
      <c r="N816" s="333"/>
      <c r="O816" s="333"/>
      <c r="P816" s="333"/>
      <c r="Q816" s="333"/>
      <c r="R816" s="333"/>
      <c r="S816" s="334">
        <f>SUM(S810:S815)</f>
        <v>66000</v>
      </c>
      <c r="T816" s="268">
        <f>SUM(T810:T815)</f>
        <v>-6000</v>
      </c>
      <c r="AM816" s="259"/>
    </row>
    <row r="817" spans="1:39" s="258" customFormat="1" ht="48.75" customHeight="1" x14ac:dyDescent="0.45">
      <c r="A817" s="253"/>
      <c r="B817" s="253"/>
      <c r="C817" s="253"/>
      <c r="D817" s="68"/>
      <c r="E817" s="253"/>
      <c r="F817" s="253"/>
      <c r="G817" s="253"/>
      <c r="H817" s="253"/>
      <c r="I817" s="253"/>
      <c r="J817" s="253"/>
      <c r="K817" s="253"/>
      <c r="L817" s="253"/>
      <c r="M817" s="253"/>
      <c r="N817" s="253"/>
      <c r="O817" s="253"/>
      <c r="P817" s="253"/>
      <c r="Q817" s="253"/>
      <c r="R817" s="253"/>
      <c r="S817" s="335"/>
      <c r="T817" s="335"/>
      <c r="AM817" s="259"/>
    </row>
    <row r="818" spans="1:39" s="245" customFormat="1" ht="59.25" customHeight="1" x14ac:dyDescent="0.5">
      <c r="A818" s="55" t="s">
        <v>31</v>
      </c>
      <c r="B818" s="241" t="s">
        <v>7</v>
      </c>
      <c r="C818" s="242" t="s">
        <v>32</v>
      </c>
      <c r="D818" s="243" t="s">
        <v>33</v>
      </c>
      <c r="E818" s="242" t="s">
        <v>34</v>
      </c>
      <c r="F818" s="244" t="s">
        <v>11</v>
      </c>
      <c r="G818" s="244" t="s">
        <v>12</v>
      </c>
      <c r="H818" s="244" t="s">
        <v>13</v>
      </c>
      <c r="I818" s="244" t="s">
        <v>14</v>
      </c>
      <c r="J818" s="244" t="s">
        <v>15</v>
      </c>
      <c r="K818" s="244" t="s">
        <v>16</v>
      </c>
      <c r="L818" s="244" t="s">
        <v>17</v>
      </c>
      <c r="M818" s="244" t="s">
        <v>18</v>
      </c>
      <c r="N818" s="244" t="s">
        <v>19</v>
      </c>
      <c r="O818" s="244" t="s">
        <v>20</v>
      </c>
      <c r="P818" s="244" t="s">
        <v>21</v>
      </c>
      <c r="Q818" s="244" t="s">
        <v>22</v>
      </c>
      <c r="R818" s="244" t="s">
        <v>23</v>
      </c>
      <c r="S818" s="20" t="s">
        <v>24</v>
      </c>
      <c r="T818" s="20" t="s">
        <v>25</v>
      </c>
      <c r="AM818" s="246"/>
    </row>
    <row r="819" spans="1:39" ht="51.75" customHeight="1" x14ac:dyDescent="0.25">
      <c r="A819" s="310" t="s">
        <v>211</v>
      </c>
      <c r="B819" s="17"/>
      <c r="C819" s="337" t="s">
        <v>212</v>
      </c>
      <c r="D819" s="19"/>
      <c r="E819" s="26">
        <v>2025</v>
      </c>
      <c r="F819" s="251">
        <v>5000</v>
      </c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64">
        <f>SUM(G819:R819)</f>
        <v>0</v>
      </c>
      <c r="T819" s="29">
        <f>SUM(F819*IF(E819=_current_year,_current_month,12)-(S819))</f>
        <v>60000</v>
      </c>
    </row>
    <row r="820" spans="1:39" ht="51.75" customHeight="1" x14ac:dyDescent="0.25">
      <c r="A820" s="310"/>
      <c r="B820" s="17"/>
      <c r="C820" s="337"/>
      <c r="D820" s="19"/>
      <c r="E820" s="30">
        <v>2024</v>
      </c>
      <c r="F820" s="251">
        <v>3000</v>
      </c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37">
        <f>SUM(G820:R820)</f>
        <v>0</v>
      </c>
      <c r="T820" s="22">
        <f>SUM(F820*IF(E820=_current_year,_current_month,12)-(S820))</f>
        <v>36000</v>
      </c>
    </row>
    <row r="821" spans="1:39" ht="51.75" customHeight="1" x14ac:dyDescent="0.25">
      <c r="A821" s="310"/>
      <c r="B821" s="17"/>
      <c r="C821" s="337"/>
      <c r="D821" s="338"/>
      <c r="E821" s="30">
        <v>2023</v>
      </c>
      <c r="F821" s="251">
        <v>3000</v>
      </c>
      <c r="G821" s="22"/>
      <c r="H821" s="22"/>
      <c r="I821" s="22">
        <v>1000</v>
      </c>
      <c r="J821" s="22">
        <v>10000</v>
      </c>
      <c r="K821" s="22"/>
      <c r="L821" s="22"/>
      <c r="M821" s="22"/>
      <c r="N821" s="22"/>
      <c r="O821" s="22"/>
      <c r="P821" s="22"/>
      <c r="Q821" s="22"/>
      <c r="R821" s="22"/>
      <c r="S821" s="37">
        <f>SUM(G821:R821)</f>
        <v>11000</v>
      </c>
      <c r="T821" s="22">
        <f>SUM(F821*IF(E821=_current_year,_current_month,12)-(S821))</f>
        <v>25000</v>
      </c>
    </row>
    <row r="822" spans="1:39" s="220" customFormat="1" ht="48" customHeight="1" x14ac:dyDescent="0.4">
      <c r="A822" s="310"/>
      <c r="B822" s="33" t="s">
        <v>28</v>
      </c>
      <c r="C822" s="38" t="s">
        <v>52</v>
      </c>
      <c r="D822" s="38"/>
      <c r="E822" s="30">
        <v>2022</v>
      </c>
      <c r="F822" s="251">
        <v>3000</v>
      </c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7">
        <f>SUM(G822:R822)</f>
        <v>0</v>
      </c>
      <c r="T822" s="37">
        <f>SUM(36000-S822)</f>
        <v>36000</v>
      </c>
      <c r="AM822" s="250"/>
    </row>
    <row r="823" spans="1:39" s="220" customFormat="1" ht="48.75" customHeight="1" x14ac:dyDescent="0.4">
      <c r="A823" s="313" t="s">
        <v>167</v>
      </c>
      <c r="B823" s="339" t="s">
        <v>28</v>
      </c>
      <c r="C823" s="38"/>
      <c r="D823" s="38"/>
      <c r="E823" s="340">
        <v>2021</v>
      </c>
      <c r="F823" s="251">
        <v>3000</v>
      </c>
      <c r="G823" s="179"/>
      <c r="H823" s="179"/>
      <c r="I823" s="179"/>
      <c r="J823" s="179"/>
      <c r="K823" s="179"/>
      <c r="L823" s="179"/>
      <c r="M823" s="60"/>
      <c r="N823" s="36"/>
      <c r="O823" s="36"/>
      <c r="P823" s="36"/>
      <c r="Q823" s="36"/>
      <c r="R823" s="36"/>
      <c r="S823" s="252">
        <f>SUM(G823:R823)</f>
        <v>0</v>
      </c>
      <c r="T823" s="252">
        <f>SUM(15000-S823)</f>
        <v>15000</v>
      </c>
      <c r="AM823" s="250"/>
    </row>
    <row r="824" spans="1:39" s="258" customFormat="1" ht="48.75" customHeight="1" x14ac:dyDescent="0.45">
      <c r="A824" s="313"/>
      <c r="B824" s="253"/>
      <c r="C824" s="38"/>
      <c r="D824" s="38"/>
      <c r="E824" s="264"/>
      <c r="F824" s="276"/>
      <c r="G824" s="276"/>
      <c r="H824" s="276"/>
      <c r="I824" s="276"/>
      <c r="J824" s="276"/>
      <c r="K824" s="276"/>
      <c r="L824" s="276"/>
      <c r="M824" s="276"/>
      <c r="N824" s="276"/>
      <c r="O824" s="276"/>
      <c r="P824" s="276"/>
      <c r="Q824" s="276"/>
      <c r="R824" s="276"/>
      <c r="S824" s="275"/>
      <c r="T824" s="286"/>
      <c r="AM824" s="259"/>
    </row>
    <row r="825" spans="1:39" s="258" customFormat="1" ht="48.75" customHeight="1" thickBot="1" x14ac:dyDescent="0.5">
      <c r="A825" s="278"/>
      <c r="B825" s="253"/>
      <c r="C825" s="38"/>
      <c r="D825" s="38"/>
      <c r="E825" s="264"/>
      <c r="F825" s="265"/>
      <c r="G825" s="266"/>
      <c r="H825" s="266"/>
      <c r="I825" s="266"/>
      <c r="J825" s="266"/>
      <c r="K825" s="266"/>
      <c r="L825" s="266"/>
      <c r="M825" s="266"/>
      <c r="N825" s="266"/>
      <c r="O825" s="266"/>
      <c r="P825" s="266"/>
      <c r="Q825" s="266"/>
      <c r="R825" s="266"/>
      <c r="S825" s="267">
        <f>SUM(S819:S824)</f>
        <v>11000</v>
      </c>
      <c r="T825" s="268">
        <f>SUM(T819:T824)</f>
        <v>172000</v>
      </c>
      <c r="AM825" s="259"/>
    </row>
    <row r="826" spans="1:39" s="258" customFormat="1" ht="48.75" customHeight="1" x14ac:dyDescent="0.45">
      <c r="A826" s="253"/>
      <c r="B826" s="253"/>
      <c r="C826" s="253"/>
      <c r="D826" s="68"/>
      <c r="E826" s="253"/>
      <c r="F826" s="253"/>
      <c r="G826" s="253"/>
      <c r="H826" s="253"/>
      <c r="I826" s="253"/>
      <c r="J826" s="253"/>
      <c r="K826" s="253"/>
      <c r="L826" s="253"/>
      <c r="M826" s="253"/>
      <c r="N826" s="253"/>
      <c r="O826" s="253"/>
      <c r="P826" s="253"/>
      <c r="Q826" s="253"/>
      <c r="R826" s="253"/>
      <c r="S826" s="269"/>
      <c r="T826" s="269"/>
      <c r="AM826" s="259"/>
    </row>
    <row r="827" spans="1:39" s="245" customFormat="1" ht="65.25" customHeight="1" x14ac:dyDescent="0.5">
      <c r="A827" s="55" t="s">
        <v>31</v>
      </c>
      <c r="B827" s="241" t="s">
        <v>7</v>
      </c>
      <c r="C827" s="242" t="s">
        <v>32</v>
      </c>
      <c r="D827" s="243" t="s">
        <v>33</v>
      </c>
      <c r="E827" s="242" t="s">
        <v>34</v>
      </c>
      <c r="F827" s="244" t="s">
        <v>11</v>
      </c>
      <c r="G827" s="244" t="s">
        <v>12</v>
      </c>
      <c r="H827" s="244" t="s">
        <v>13</v>
      </c>
      <c r="I827" s="244" t="s">
        <v>14</v>
      </c>
      <c r="J827" s="244" t="s">
        <v>15</v>
      </c>
      <c r="K827" s="244" t="s">
        <v>16</v>
      </c>
      <c r="L827" s="244" t="s">
        <v>17</v>
      </c>
      <c r="M827" s="244" t="s">
        <v>18</v>
      </c>
      <c r="N827" s="244" t="s">
        <v>19</v>
      </c>
      <c r="O827" s="244" t="s">
        <v>20</v>
      </c>
      <c r="P827" s="244" t="s">
        <v>21</v>
      </c>
      <c r="Q827" s="244" t="s">
        <v>22</v>
      </c>
      <c r="R827" s="244" t="s">
        <v>23</v>
      </c>
      <c r="S827" s="20" t="s">
        <v>24</v>
      </c>
      <c r="T827" s="20" t="s">
        <v>25</v>
      </c>
      <c r="AM827" s="246"/>
    </row>
    <row r="828" spans="1:39" ht="51.75" customHeight="1" x14ac:dyDescent="0.25">
      <c r="A828" s="341" t="s">
        <v>213</v>
      </c>
      <c r="B828" s="17"/>
      <c r="C828" s="312" t="s">
        <v>214</v>
      </c>
      <c r="D828" s="19"/>
      <c r="E828" s="26">
        <v>2025</v>
      </c>
      <c r="F828" s="251">
        <v>5000</v>
      </c>
      <c r="G828" s="22"/>
      <c r="H828" s="22"/>
      <c r="I828" s="22"/>
      <c r="J828" s="22">
        <v>10000</v>
      </c>
      <c r="K828" s="22"/>
      <c r="L828" s="22"/>
      <c r="M828" s="22"/>
      <c r="N828" s="22"/>
      <c r="O828" s="22">
        <v>20000</v>
      </c>
      <c r="P828" s="22"/>
      <c r="Q828" s="22"/>
      <c r="R828" s="22"/>
      <c r="S828" s="64">
        <f t="shared" ref="S828:S838" si="40">SUM(G828:R828)</f>
        <v>30000</v>
      </c>
      <c r="T828" s="29">
        <f>SUM(F828*IF(E828=_current_year,_current_month,12)-(S828))</f>
        <v>30000</v>
      </c>
    </row>
    <row r="829" spans="1:39" ht="51.75" customHeight="1" x14ac:dyDescent="0.25">
      <c r="A829" s="341"/>
      <c r="B829" s="17"/>
      <c r="C829" s="315" t="s">
        <v>215</v>
      </c>
      <c r="D829" s="19"/>
      <c r="E829" s="30">
        <v>2024</v>
      </c>
      <c r="F829" s="251">
        <v>3000</v>
      </c>
      <c r="G829" s="22"/>
      <c r="H829" s="22">
        <v>50000</v>
      </c>
      <c r="I829" s="22"/>
      <c r="J829" s="22">
        <v>35000</v>
      </c>
      <c r="K829" s="22"/>
      <c r="L829" s="22"/>
      <c r="M829" s="22">
        <v>21000</v>
      </c>
      <c r="N829" s="22">
        <v>15000</v>
      </c>
      <c r="O829" s="22"/>
      <c r="P829" s="22"/>
      <c r="Q829" s="22"/>
      <c r="R829" s="22">
        <v>15000</v>
      </c>
      <c r="S829" s="37">
        <f t="shared" si="40"/>
        <v>136000</v>
      </c>
      <c r="T829" s="22">
        <f>SUM(F829*IF(E829=_current_year,_current_month,12)-(S829))</f>
        <v>-100000</v>
      </c>
    </row>
    <row r="830" spans="1:39" ht="51.75" customHeight="1" x14ac:dyDescent="0.25">
      <c r="A830" s="341"/>
      <c r="B830" s="17"/>
      <c r="C830" s="38" t="s">
        <v>52</v>
      </c>
      <c r="D830" s="38"/>
      <c r="E830" s="30">
        <v>2023</v>
      </c>
      <c r="F830" s="251">
        <v>3000</v>
      </c>
      <c r="G830" s="22"/>
      <c r="H830" s="36">
        <v>20000</v>
      </c>
      <c r="I830" s="22"/>
      <c r="J830" s="22"/>
      <c r="K830" s="22"/>
      <c r="L830" s="22"/>
      <c r="M830" s="22"/>
      <c r="N830" s="22"/>
      <c r="O830" s="22"/>
      <c r="P830" s="36">
        <v>12000</v>
      </c>
      <c r="Q830" s="36"/>
      <c r="R830" s="36">
        <v>12000</v>
      </c>
      <c r="S830" s="37">
        <f t="shared" si="40"/>
        <v>44000</v>
      </c>
      <c r="T830" s="22">
        <f>SUM(F830*IF(E830=_current_year,_current_month,12)-(S830))</f>
        <v>-8000</v>
      </c>
    </row>
    <row r="831" spans="1:39" s="220" customFormat="1" ht="48" customHeight="1" x14ac:dyDescent="0.4">
      <c r="A831" s="341"/>
      <c r="B831" s="33" t="s">
        <v>28</v>
      </c>
      <c r="C831" s="38"/>
      <c r="D831" s="38"/>
      <c r="E831" s="30">
        <v>2022</v>
      </c>
      <c r="F831" s="251">
        <v>3000</v>
      </c>
      <c r="G831" s="36"/>
      <c r="H831" s="36">
        <v>20000</v>
      </c>
      <c r="I831" s="36"/>
      <c r="J831" s="36"/>
      <c r="K831" s="36"/>
      <c r="L831" s="36"/>
      <c r="M831" s="36">
        <v>20000</v>
      </c>
      <c r="N831" s="36"/>
      <c r="O831" s="36"/>
      <c r="P831" s="36"/>
      <c r="Q831" s="36"/>
      <c r="R831" s="36"/>
      <c r="S831" s="37">
        <f t="shared" si="40"/>
        <v>40000</v>
      </c>
      <c r="T831" s="195">
        <f t="shared" ref="T831:T838" si="41">SUM(36000-S831)</f>
        <v>-4000</v>
      </c>
      <c r="AM831" s="250"/>
    </row>
    <row r="832" spans="1:39" s="220" customFormat="1" ht="48.75" customHeight="1" x14ac:dyDescent="0.4">
      <c r="A832" s="341"/>
      <c r="B832" s="33" t="s">
        <v>28</v>
      </c>
      <c r="C832" s="38"/>
      <c r="D832" s="38"/>
      <c r="E832" s="30">
        <v>2021</v>
      </c>
      <c r="F832" s="251">
        <v>3000</v>
      </c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252">
        <f t="shared" si="40"/>
        <v>0</v>
      </c>
      <c r="T832" s="252">
        <f t="shared" si="41"/>
        <v>36000</v>
      </c>
      <c r="AM832" s="250"/>
    </row>
    <row r="833" spans="1:39" s="258" customFormat="1" ht="48.75" customHeight="1" x14ac:dyDescent="0.45">
      <c r="A833" s="313" t="s">
        <v>167</v>
      </c>
      <c r="B833" s="253" t="s">
        <v>80</v>
      </c>
      <c r="C833" s="38"/>
      <c r="D833" s="38"/>
      <c r="E833" s="254">
        <v>2020</v>
      </c>
      <c r="F833" s="251">
        <v>3000</v>
      </c>
      <c r="G833" s="342">
        <v>12000</v>
      </c>
      <c r="H833" s="302"/>
      <c r="I833" s="302"/>
      <c r="J833" s="302"/>
      <c r="K833" s="302"/>
      <c r="L833" s="342">
        <v>9000</v>
      </c>
      <c r="M833" s="302"/>
      <c r="N833" s="302"/>
      <c r="O833" s="302"/>
      <c r="P833" s="302"/>
      <c r="Q833" s="302"/>
      <c r="R833" s="302"/>
      <c r="S833" s="252">
        <f t="shared" si="40"/>
        <v>21000</v>
      </c>
      <c r="T833" s="257">
        <f t="shared" si="41"/>
        <v>15000</v>
      </c>
      <c r="AM833" s="259"/>
    </row>
    <row r="834" spans="1:39" s="258" customFormat="1" ht="48.75" customHeight="1" x14ac:dyDescent="0.45">
      <c r="A834" s="313"/>
      <c r="B834" s="253"/>
      <c r="C834" s="38"/>
      <c r="D834" s="38"/>
      <c r="E834" s="254">
        <v>2019</v>
      </c>
      <c r="F834" s="251">
        <v>3000</v>
      </c>
      <c r="G834" s="302"/>
      <c r="H834" s="302"/>
      <c r="I834" s="302"/>
      <c r="J834" s="302"/>
      <c r="K834" s="302"/>
      <c r="L834" s="302"/>
      <c r="M834" s="302"/>
      <c r="N834" s="302"/>
      <c r="O834" s="302"/>
      <c r="P834" s="342">
        <v>20000</v>
      </c>
      <c r="Q834" s="302"/>
      <c r="R834" s="302"/>
      <c r="S834" s="252">
        <f t="shared" si="40"/>
        <v>20000</v>
      </c>
      <c r="T834" s="257">
        <f t="shared" si="41"/>
        <v>16000</v>
      </c>
      <c r="AM834" s="259"/>
    </row>
    <row r="835" spans="1:39" s="258" customFormat="1" ht="48.75" customHeight="1" x14ac:dyDescent="0.75">
      <c r="A835" s="343"/>
      <c r="B835" s="253"/>
      <c r="C835" s="38"/>
      <c r="D835" s="38"/>
      <c r="E835" s="254">
        <v>2018</v>
      </c>
      <c r="F835" s="251">
        <v>3000</v>
      </c>
      <c r="G835" s="260">
        <v>3000</v>
      </c>
      <c r="H835" s="260">
        <v>3000</v>
      </c>
      <c r="I835" s="260">
        <v>3000</v>
      </c>
      <c r="J835" s="260">
        <v>3000</v>
      </c>
      <c r="K835" s="260">
        <v>3000</v>
      </c>
      <c r="L835" s="260">
        <v>3000</v>
      </c>
      <c r="M835" s="260">
        <v>3000</v>
      </c>
      <c r="N835" s="260">
        <v>3000</v>
      </c>
      <c r="O835" s="260">
        <v>3000</v>
      </c>
      <c r="P835" s="260">
        <v>3000</v>
      </c>
      <c r="Q835" s="260">
        <v>3000</v>
      </c>
      <c r="R835" s="260">
        <v>3000</v>
      </c>
      <c r="S835" s="252">
        <f t="shared" si="40"/>
        <v>36000</v>
      </c>
      <c r="T835" s="257">
        <f t="shared" si="41"/>
        <v>0</v>
      </c>
      <c r="AM835" s="259"/>
    </row>
    <row r="836" spans="1:39" s="258" customFormat="1" ht="48.75" customHeight="1" x14ac:dyDescent="0.45">
      <c r="A836" s="300"/>
      <c r="B836" s="253"/>
      <c r="C836" s="38"/>
      <c r="D836" s="38"/>
      <c r="E836" s="254">
        <v>2017</v>
      </c>
      <c r="F836" s="251">
        <v>3000</v>
      </c>
      <c r="G836" s="260">
        <v>3000</v>
      </c>
      <c r="H836" s="260">
        <v>3000</v>
      </c>
      <c r="I836" s="260">
        <v>3000</v>
      </c>
      <c r="J836" s="260">
        <v>3000</v>
      </c>
      <c r="K836" s="260">
        <v>3000</v>
      </c>
      <c r="L836" s="260">
        <v>3000</v>
      </c>
      <c r="M836" s="260">
        <v>3000</v>
      </c>
      <c r="N836" s="260">
        <v>3000</v>
      </c>
      <c r="O836" s="260">
        <v>3000</v>
      </c>
      <c r="P836" s="260">
        <v>3000</v>
      </c>
      <c r="Q836" s="260">
        <v>3000</v>
      </c>
      <c r="R836" s="260">
        <v>3000</v>
      </c>
      <c r="S836" s="252">
        <f t="shared" si="40"/>
        <v>36000</v>
      </c>
      <c r="T836" s="257">
        <f t="shared" si="41"/>
        <v>0</v>
      </c>
      <c r="AM836" s="259"/>
    </row>
    <row r="837" spans="1:39" s="258" customFormat="1" ht="48.75" customHeight="1" x14ac:dyDescent="0.45">
      <c r="A837" s="300"/>
      <c r="B837" s="253"/>
      <c r="C837" s="38"/>
      <c r="D837" s="38"/>
      <c r="E837" s="254">
        <v>2016</v>
      </c>
      <c r="F837" s="251">
        <v>3000</v>
      </c>
      <c r="G837" s="260">
        <v>3000</v>
      </c>
      <c r="H837" s="260">
        <v>3000</v>
      </c>
      <c r="I837" s="260">
        <v>3000</v>
      </c>
      <c r="J837" s="260">
        <v>3000</v>
      </c>
      <c r="K837" s="260">
        <v>3000</v>
      </c>
      <c r="L837" s="260">
        <v>3000</v>
      </c>
      <c r="M837" s="260">
        <v>3000</v>
      </c>
      <c r="N837" s="260">
        <v>3000</v>
      </c>
      <c r="O837" s="260">
        <v>3000</v>
      </c>
      <c r="P837" s="260">
        <v>3000</v>
      </c>
      <c r="Q837" s="260">
        <v>3000</v>
      </c>
      <c r="R837" s="256"/>
      <c r="S837" s="252">
        <f t="shared" si="40"/>
        <v>33000</v>
      </c>
      <c r="T837" s="257">
        <f t="shared" si="41"/>
        <v>3000</v>
      </c>
      <c r="AM837" s="259"/>
    </row>
    <row r="838" spans="1:39" s="258" customFormat="1" ht="48.75" customHeight="1" x14ac:dyDescent="0.45">
      <c r="A838" s="317"/>
      <c r="B838" s="253"/>
      <c r="C838" s="38"/>
      <c r="D838" s="38"/>
      <c r="E838" s="254">
        <v>2015</v>
      </c>
      <c r="F838" s="251">
        <v>3000</v>
      </c>
      <c r="G838" s="260">
        <v>3000</v>
      </c>
      <c r="H838" s="260">
        <v>3000</v>
      </c>
      <c r="I838" s="260">
        <v>3000</v>
      </c>
      <c r="J838" s="256"/>
      <c r="K838" s="256"/>
      <c r="L838" s="256"/>
      <c r="M838" s="256"/>
      <c r="N838" s="256"/>
      <c r="O838" s="256"/>
      <c r="P838" s="256"/>
      <c r="Q838" s="256"/>
      <c r="R838" s="256"/>
      <c r="S838" s="252">
        <f t="shared" si="40"/>
        <v>9000</v>
      </c>
      <c r="T838" s="257">
        <f t="shared" si="41"/>
        <v>27000</v>
      </c>
      <c r="AM838" s="259"/>
    </row>
    <row r="839" spans="1:39" s="258" customFormat="1" ht="48.75" customHeight="1" thickBot="1" x14ac:dyDescent="0.5">
      <c r="A839" s="253"/>
      <c r="B839" s="253"/>
      <c r="C839" s="253"/>
      <c r="D839" s="68"/>
      <c r="E839" s="264"/>
      <c r="F839" s="265"/>
      <c r="G839" s="266"/>
      <c r="H839" s="266"/>
      <c r="I839" s="266"/>
      <c r="J839" s="266"/>
      <c r="K839" s="266"/>
      <c r="L839" s="266"/>
      <c r="M839" s="266"/>
      <c r="N839" s="266"/>
      <c r="O839" s="266"/>
      <c r="P839" s="266"/>
      <c r="Q839" s="266"/>
      <c r="R839" s="266"/>
      <c r="S839" s="267">
        <f>SUM(S828:S838)</f>
        <v>405000</v>
      </c>
      <c r="T839" s="268">
        <f>SUM(T828:T838)</f>
        <v>15000</v>
      </c>
      <c r="AM839" s="259"/>
    </row>
    <row r="840" spans="1:39" s="258" customFormat="1" ht="48.75" customHeight="1" x14ac:dyDescent="0.45">
      <c r="A840" s="253"/>
      <c r="B840" s="253"/>
      <c r="C840" s="253"/>
      <c r="D840" s="68"/>
      <c r="E840" s="234"/>
      <c r="F840" s="234"/>
      <c r="G840" s="234"/>
      <c r="H840" s="234"/>
      <c r="I840" s="234"/>
      <c r="J840" s="234"/>
      <c r="K840" s="234"/>
      <c r="L840" s="234"/>
      <c r="M840" s="234"/>
      <c r="N840" s="234"/>
      <c r="O840" s="234"/>
      <c r="P840" s="234"/>
      <c r="Q840" s="234"/>
      <c r="R840" s="234"/>
      <c r="S840" s="344"/>
      <c r="T840" s="344"/>
      <c r="AM840" s="259"/>
    </row>
    <row r="841" spans="1:39" s="245" customFormat="1" ht="61.5" customHeight="1" x14ac:dyDescent="0.5">
      <c r="A841" s="55" t="s">
        <v>31</v>
      </c>
      <c r="B841" s="241" t="s">
        <v>7</v>
      </c>
      <c r="C841" s="242" t="s">
        <v>32</v>
      </c>
      <c r="D841" s="243" t="s">
        <v>33</v>
      </c>
      <c r="E841" s="242" t="s">
        <v>34</v>
      </c>
      <c r="F841" s="244" t="s">
        <v>11</v>
      </c>
      <c r="G841" s="244" t="s">
        <v>12</v>
      </c>
      <c r="H841" s="244" t="s">
        <v>13</v>
      </c>
      <c r="I841" s="244" t="s">
        <v>14</v>
      </c>
      <c r="J841" s="244" t="s">
        <v>15</v>
      </c>
      <c r="K841" s="244" t="s">
        <v>16</v>
      </c>
      <c r="L841" s="244" t="s">
        <v>17</v>
      </c>
      <c r="M841" s="244" t="s">
        <v>18</v>
      </c>
      <c r="N841" s="244" t="s">
        <v>19</v>
      </c>
      <c r="O841" s="244" t="s">
        <v>20</v>
      </c>
      <c r="P841" s="244" t="s">
        <v>21</v>
      </c>
      <c r="Q841" s="244" t="s">
        <v>22</v>
      </c>
      <c r="R841" s="244" t="s">
        <v>23</v>
      </c>
      <c r="S841" s="20" t="s">
        <v>24</v>
      </c>
      <c r="T841" s="20" t="s">
        <v>25</v>
      </c>
      <c r="AM841" s="246"/>
    </row>
    <row r="842" spans="1:39" ht="51.75" customHeight="1" x14ac:dyDescent="0.25">
      <c r="A842" s="310" t="s">
        <v>216</v>
      </c>
      <c r="B842" s="17"/>
      <c r="C842" s="279" t="s">
        <v>217</v>
      </c>
      <c r="D842" s="19"/>
      <c r="E842" s="26">
        <v>2025</v>
      </c>
      <c r="F842" s="251">
        <v>5000</v>
      </c>
      <c r="G842" s="22"/>
      <c r="H842" s="22"/>
      <c r="I842" s="22"/>
      <c r="J842" s="22"/>
      <c r="K842" s="22"/>
      <c r="L842" s="22"/>
      <c r="M842" s="22">
        <v>71000</v>
      </c>
      <c r="N842" s="22"/>
      <c r="O842" s="22">
        <v>58000</v>
      </c>
      <c r="P842" s="22"/>
      <c r="Q842" s="22"/>
      <c r="R842" s="22"/>
      <c r="S842" s="64">
        <f>SUM(G842:R842)</f>
        <v>129000</v>
      </c>
      <c r="T842" s="29">
        <f>SUM(F842*IF(E842=_current_year,_current_month,12)-(S842))</f>
        <v>-69000</v>
      </c>
    </row>
    <row r="843" spans="1:39" ht="51.75" customHeight="1" x14ac:dyDescent="0.25">
      <c r="A843" s="310"/>
      <c r="B843" s="17"/>
      <c r="C843" s="279"/>
      <c r="D843" s="19"/>
      <c r="E843" s="30">
        <v>2024</v>
      </c>
      <c r="F843" s="251">
        <v>3000</v>
      </c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37">
        <f>SUM(G843:R843)</f>
        <v>0</v>
      </c>
      <c r="T843" s="22">
        <f>SUM(F843*IF(E843=_current_year,_current_month,12)-(S843))</f>
        <v>36000</v>
      </c>
    </row>
    <row r="844" spans="1:39" ht="51.75" customHeight="1" x14ac:dyDescent="0.25">
      <c r="A844" s="310"/>
      <c r="B844" s="17"/>
      <c r="C844" s="279"/>
      <c r="D844" s="19"/>
      <c r="E844" s="30">
        <v>2023</v>
      </c>
      <c r="F844" s="251">
        <v>3000</v>
      </c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37">
        <f>SUM(G844:R844)</f>
        <v>0</v>
      </c>
      <c r="T844" s="22">
        <f>SUM(F844*IF(E844=_current_year,_current_month,12)-(S844))</f>
        <v>36000</v>
      </c>
    </row>
    <row r="845" spans="1:39" s="220" customFormat="1" ht="48" customHeight="1" x14ac:dyDescent="0.4">
      <c r="A845" s="310"/>
      <c r="B845" s="33" t="s">
        <v>28</v>
      </c>
      <c r="C845" s="34"/>
      <c r="D845" s="35"/>
      <c r="E845" s="30">
        <v>2022</v>
      </c>
      <c r="F845" s="251">
        <v>3000</v>
      </c>
      <c r="G845" s="36"/>
      <c r="H845" s="36"/>
      <c r="I845" s="36"/>
      <c r="J845" s="36">
        <v>18000</v>
      </c>
      <c r="K845" s="36"/>
      <c r="L845" s="36"/>
      <c r="M845" s="36"/>
      <c r="N845" s="36"/>
      <c r="O845" s="36"/>
      <c r="P845" s="36">
        <v>12000</v>
      </c>
      <c r="Q845" s="36"/>
      <c r="R845" s="36"/>
      <c r="S845" s="37">
        <f>SUM(G845:R845)</f>
        <v>30000</v>
      </c>
      <c r="T845" s="37">
        <f>SUM(36000-S845)</f>
        <v>6000</v>
      </c>
      <c r="AM845" s="250"/>
    </row>
    <row r="846" spans="1:39" s="220" customFormat="1" ht="48.75" customHeight="1" x14ac:dyDescent="0.4">
      <c r="A846" s="310"/>
      <c r="B846" s="33" t="s">
        <v>28</v>
      </c>
      <c r="C846" s="80" t="s">
        <v>52</v>
      </c>
      <c r="D846" s="80"/>
      <c r="E846" s="30">
        <v>2021</v>
      </c>
      <c r="F846" s="251">
        <v>3000</v>
      </c>
      <c r="G846" s="36">
        <v>9000</v>
      </c>
      <c r="H846" s="36">
        <v>9000</v>
      </c>
      <c r="I846" s="36"/>
      <c r="J846" s="36"/>
      <c r="K846" s="36"/>
      <c r="L846" s="36"/>
      <c r="M846" s="36"/>
      <c r="N846" s="36"/>
      <c r="O846" s="36"/>
      <c r="P846" s="36">
        <v>18000</v>
      </c>
      <c r="Q846" s="36"/>
      <c r="R846" s="36"/>
      <c r="S846" s="252">
        <f>SUM(G846:R846)</f>
        <v>36000</v>
      </c>
      <c r="T846" s="252">
        <f>SUM(36000-S846)</f>
        <v>0</v>
      </c>
      <c r="AM846" s="250"/>
    </row>
    <row r="847" spans="1:39" s="258" customFormat="1" ht="48.75" customHeight="1" x14ac:dyDescent="0.45">
      <c r="A847" s="313" t="s">
        <v>167</v>
      </c>
      <c r="B847" s="253" t="s">
        <v>68</v>
      </c>
      <c r="C847" s="80"/>
      <c r="D847" s="80"/>
      <c r="E847" s="254">
        <v>2020</v>
      </c>
      <c r="F847" s="251">
        <v>3000</v>
      </c>
      <c r="G847" s="302"/>
      <c r="H847" s="302"/>
      <c r="I847" s="302"/>
      <c r="J847" s="302"/>
      <c r="K847" s="302"/>
      <c r="L847" s="302"/>
      <c r="M847" s="302"/>
      <c r="N847" s="302"/>
      <c r="O847" s="302"/>
      <c r="P847" s="302"/>
      <c r="Q847" s="345"/>
      <c r="R847" s="302"/>
      <c r="S847" s="252">
        <f>SUM(Q847:R847)</f>
        <v>0</v>
      </c>
      <c r="T847" s="257">
        <f>SUM(6000-S847)</f>
        <v>6000</v>
      </c>
      <c r="AM847" s="259"/>
    </row>
    <row r="848" spans="1:39" s="258" customFormat="1" ht="48.75" customHeight="1" x14ac:dyDescent="0.45">
      <c r="A848" s="313"/>
      <c r="B848" s="253"/>
      <c r="C848" s="80"/>
      <c r="D848" s="80"/>
      <c r="E848" s="264"/>
      <c r="F848" s="264"/>
      <c r="G848" s="276"/>
      <c r="H848" s="276"/>
      <c r="I848" s="276"/>
      <c r="J848" s="276"/>
      <c r="K848" s="276"/>
      <c r="L848" s="276"/>
      <c r="M848" s="276"/>
      <c r="N848" s="276"/>
      <c r="O848" s="276"/>
      <c r="P848" s="276"/>
      <c r="Q848" s="276"/>
      <c r="R848" s="276"/>
      <c r="S848" s="275"/>
      <c r="T848" s="286"/>
      <c r="AM848" s="259"/>
    </row>
    <row r="849" spans="1:39" s="258" customFormat="1" ht="48.75" customHeight="1" thickBot="1" x14ac:dyDescent="0.5">
      <c r="A849" s="253"/>
      <c r="B849" s="253"/>
      <c r="C849" s="80"/>
      <c r="D849" s="80"/>
      <c r="E849" s="264"/>
      <c r="F849" s="265"/>
      <c r="G849" s="266"/>
      <c r="H849" s="266"/>
      <c r="I849" s="266"/>
      <c r="J849" s="266"/>
      <c r="K849" s="266"/>
      <c r="L849" s="266"/>
      <c r="M849" s="266"/>
      <c r="N849" s="266"/>
      <c r="O849" s="266"/>
      <c r="P849" s="266"/>
      <c r="Q849" s="266"/>
      <c r="R849" s="266"/>
      <c r="S849" s="267">
        <f>SUM(S842:S848)</f>
        <v>195000</v>
      </c>
      <c r="T849" s="268">
        <f>SUM(T842:T848)</f>
        <v>15000</v>
      </c>
      <c r="AM849" s="259"/>
    </row>
    <row r="850" spans="1:39" s="258" customFormat="1" ht="48.75" customHeight="1" x14ac:dyDescent="0.45">
      <c r="A850" s="253"/>
      <c r="B850" s="253"/>
      <c r="C850" s="253"/>
      <c r="D850" s="68"/>
      <c r="E850" s="264"/>
      <c r="F850" s="264"/>
      <c r="G850" s="276"/>
      <c r="H850" s="276"/>
      <c r="I850" s="276"/>
      <c r="J850" s="276"/>
      <c r="K850" s="276"/>
      <c r="L850" s="276"/>
      <c r="M850" s="276"/>
      <c r="N850" s="276"/>
      <c r="O850" s="276"/>
      <c r="P850" s="276"/>
      <c r="Q850" s="276"/>
      <c r="R850" s="276"/>
      <c r="S850" s="286"/>
      <c r="T850" s="286"/>
      <c r="AM850" s="259"/>
    </row>
    <row r="851" spans="1:39" s="245" customFormat="1" ht="63" customHeight="1" x14ac:dyDescent="0.5">
      <c r="A851" s="55" t="s">
        <v>31</v>
      </c>
      <c r="B851" s="241" t="s">
        <v>7</v>
      </c>
      <c r="C851" s="242" t="s">
        <v>32</v>
      </c>
      <c r="D851" s="243" t="s">
        <v>33</v>
      </c>
      <c r="E851" s="242" t="s">
        <v>34</v>
      </c>
      <c r="F851" s="244" t="s">
        <v>11</v>
      </c>
      <c r="G851" s="244" t="s">
        <v>12</v>
      </c>
      <c r="H851" s="244" t="s">
        <v>13</v>
      </c>
      <c r="I851" s="244" t="s">
        <v>14</v>
      </c>
      <c r="J851" s="244" t="s">
        <v>15</v>
      </c>
      <c r="K851" s="244" t="s">
        <v>16</v>
      </c>
      <c r="L851" s="244" t="s">
        <v>17</v>
      </c>
      <c r="M851" s="244" t="s">
        <v>18</v>
      </c>
      <c r="N851" s="244" t="s">
        <v>19</v>
      </c>
      <c r="O851" s="244" t="s">
        <v>20</v>
      </c>
      <c r="P851" s="244" t="s">
        <v>21</v>
      </c>
      <c r="Q851" s="244" t="s">
        <v>22</v>
      </c>
      <c r="R851" s="244" t="s">
        <v>23</v>
      </c>
      <c r="S851" s="20" t="s">
        <v>24</v>
      </c>
      <c r="T851" s="20" t="s">
        <v>25</v>
      </c>
      <c r="AM851" s="246"/>
    </row>
    <row r="852" spans="1:39" ht="51.75" customHeight="1" x14ac:dyDescent="0.25">
      <c r="A852" s="341" t="s">
        <v>218</v>
      </c>
      <c r="B852" s="17"/>
      <c r="C852" s="279" t="s">
        <v>219</v>
      </c>
      <c r="D852" s="19"/>
      <c r="E852" s="26">
        <v>2025</v>
      </c>
      <c r="F852" s="27">
        <v>5000</v>
      </c>
      <c r="G852" s="22"/>
      <c r="H852" s="22"/>
      <c r="I852" s="22"/>
      <c r="J852" s="22"/>
      <c r="K852" s="22"/>
      <c r="L852" s="22"/>
      <c r="M852" s="22">
        <v>100000</v>
      </c>
      <c r="N852" s="22"/>
      <c r="O852" s="22"/>
      <c r="P852" s="22"/>
      <c r="Q852" s="22"/>
      <c r="R852" s="22"/>
      <c r="S852" s="64">
        <f>SUM(G852:R852)</f>
        <v>100000</v>
      </c>
      <c r="T852" s="29">
        <f>SUM(F852*IF(E852=_current_year,_current_month,12)-(S852))</f>
        <v>-40000</v>
      </c>
    </row>
    <row r="853" spans="1:39" ht="51.75" customHeight="1" x14ac:dyDescent="0.25">
      <c r="A853" s="341"/>
      <c r="B853" s="17"/>
      <c r="C853" s="279"/>
      <c r="D853" s="19"/>
      <c r="E853" s="30">
        <v>2024</v>
      </c>
      <c r="F853" s="27">
        <v>3000</v>
      </c>
      <c r="G853" s="22"/>
      <c r="H853" s="22"/>
      <c r="I853" s="22"/>
      <c r="J853" s="22">
        <v>25000</v>
      </c>
      <c r="K853" s="22"/>
      <c r="L853" s="22"/>
      <c r="M853" s="22"/>
      <c r="N853" s="22"/>
      <c r="O853" s="22"/>
      <c r="P853" s="22"/>
      <c r="Q853" s="22"/>
      <c r="R853" s="22"/>
      <c r="S853" s="37">
        <f>SUM(G853:R853)</f>
        <v>25000</v>
      </c>
      <c r="T853" s="22">
        <f>SUM(F853*IF(E853=_current_year,_current_month,12)-(S853))</f>
        <v>11000</v>
      </c>
    </row>
    <row r="854" spans="1:39" ht="51.75" customHeight="1" x14ac:dyDescent="0.25">
      <c r="A854" s="341"/>
      <c r="B854" s="17"/>
      <c r="C854" s="279"/>
      <c r="D854" s="19"/>
      <c r="E854" s="30">
        <v>2023</v>
      </c>
      <c r="F854" s="27">
        <v>3000</v>
      </c>
      <c r="G854" s="22"/>
      <c r="H854" s="22"/>
      <c r="I854" s="22">
        <v>6000</v>
      </c>
      <c r="J854" s="22"/>
      <c r="K854" s="22"/>
      <c r="L854" s="22"/>
      <c r="M854" s="22"/>
      <c r="N854" s="22"/>
      <c r="O854" s="22"/>
      <c r="P854" s="22"/>
      <c r="Q854" s="22"/>
      <c r="R854" s="22"/>
      <c r="S854" s="37">
        <f>SUM(G854:R854)</f>
        <v>6000</v>
      </c>
      <c r="T854" s="22">
        <f>SUM(F854*IF(E854=_current_year,_current_month,12)-(S854))</f>
        <v>30000</v>
      </c>
    </row>
    <row r="855" spans="1:39" s="220" customFormat="1" ht="48" customHeight="1" x14ac:dyDescent="0.4">
      <c r="A855" s="341"/>
      <c r="B855" s="33" t="s">
        <v>28</v>
      </c>
      <c r="C855" s="34"/>
      <c r="D855" s="35"/>
      <c r="E855" s="30">
        <v>2022</v>
      </c>
      <c r="F855" s="251">
        <v>3000</v>
      </c>
      <c r="G855" s="36"/>
      <c r="H855" s="36"/>
      <c r="I855" s="36"/>
      <c r="J855" s="36"/>
      <c r="K855" s="36"/>
      <c r="L855" s="36"/>
      <c r="M855" s="36"/>
      <c r="N855" s="60">
        <v>9000</v>
      </c>
      <c r="O855" s="36"/>
      <c r="P855" s="36"/>
      <c r="Q855" s="36"/>
      <c r="R855" s="36"/>
      <c r="S855" s="37">
        <f>SUM(N855:R855)</f>
        <v>9000</v>
      </c>
      <c r="T855" s="37">
        <f>SUM(12000-S855)</f>
        <v>3000</v>
      </c>
      <c r="AM855" s="250"/>
    </row>
    <row r="856" spans="1:39" s="258" customFormat="1" ht="48.75" customHeight="1" x14ac:dyDescent="0.45">
      <c r="A856" s="341"/>
      <c r="B856" s="253" t="s">
        <v>80</v>
      </c>
      <c r="C856" s="38" t="s">
        <v>52</v>
      </c>
      <c r="D856" s="38"/>
      <c r="E856" s="346"/>
      <c r="F856" s="347"/>
      <c r="G856" s="348"/>
      <c r="H856" s="348"/>
      <c r="I856" s="348"/>
      <c r="J856" s="348"/>
      <c r="K856" s="348"/>
      <c r="L856" s="348"/>
      <c r="M856" s="348"/>
      <c r="N856" s="348"/>
      <c r="O856" s="348"/>
      <c r="P856" s="348"/>
      <c r="Q856" s="348"/>
      <c r="R856" s="348"/>
      <c r="S856" s="348"/>
      <c r="T856" s="349"/>
      <c r="AM856" s="259"/>
    </row>
    <row r="857" spans="1:39" s="258" customFormat="1" ht="48.75" customHeight="1" x14ac:dyDescent="0.45">
      <c r="A857" s="313" t="s">
        <v>167</v>
      </c>
      <c r="B857" s="253"/>
      <c r="C857" s="38"/>
      <c r="D857" s="38"/>
      <c r="E857" s="350"/>
      <c r="F857" s="351"/>
      <c r="G857" s="276"/>
      <c r="H857" s="276"/>
      <c r="I857" s="276"/>
      <c r="J857" s="276"/>
      <c r="K857" s="276"/>
      <c r="L857" s="276"/>
      <c r="M857" s="276"/>
      <c r="N857" s="276"/>
      <c r="O857" s="276"/>
      <c r="P857" s="276"/>
      <c r="Q857" s="276"/>
      <c r="R857" s="276"/>
      <c r="S857" s="276"/>
      <c r="T857" s="352"/>
      <c r="AM857" s="259"/>
    </row>
    <row r="858" spans="1:39" s="258" customFormat="1" ht="48.75" customHeight="1" x14ac:dyDescent="0.45">
      <c r="A858" s="313"/>
      <c r="B858" s="253"/>
      <c r="C858" s="38"/>
      <c r="D858" s="38"/>
      <c r="E858" s="350"/>
      <c r="F858" s="351"/>
      <c r="G858" s="276"/>
      <c r="H858" s="276"/>
      <c r="I858" s="276"/>
      <c r="J858" s="276"/>
      <c r="K858" s="276"/>
      <c r="L858" s="276"/>
      <c r="M858" s="276"/>
      <c r="N858" s="276"/>
      <c r="O858" s="276"/>
      <c r="P858" s="276"/>
      <c r="Q858" s="276"/>
      <c r="R858" s="276"/>
      <c r="S858" s="353"/>
      <c r="T858" s="354"/>
      <c r="AM858" s="259"/>
    </row>
    <row r="859" spans="1:39" s="258" customFormat="1" ht="48.75" customHeight="1" thickBot="1" x14ac:dyDescent="0.5">
      <c r="A859" s="253"/>
      <c r="B859" s="253"/>
      <c r="C859" s="253"/>
      <c r="D859" s="68"/>
      <c r="E859" s="264"/>
      <c r="F859" s="265"/>
      <c r="G859" s="266"/>
      <c r="H859" s="266"/>
      <c r="I859" s="266"/>
      <c r="J859" s="266"/>
      <c r="K859" s="266"/>
      <c r="L859" s="266"/>
      <c r="M859" s="266"/>
      <c r="N859" s="266"/>
      <c r="O859" s="266"/>
      <c r="P859" s="266"/>
      <c r="Q859" s="266"/>
      <c r="R859" s="266"/>
      <c r="S859" s="267">
        <f>SUM(S852:S858)</f>
        <v>140000</v>
      </c>
      <c r="T859" s="268">
        <f>SUM(T852:T858)</f>
        <v>4000</v>
      </c>
      <c r="AM859" s="259"/>
    </row>
    <row r="860" spans="1:39" s="258" customFormat="1" ht="48.75" customHeight="1" x14ac:dyDescent="0.45">
      <c r="A860" s="253"/>
      <c r="B860" s="253"/>
      <c r="C860" s="253"/>
      <c r="D860" s="68"/>
      <c r="E860" s="264"/>
      <c r="F860" s="264"/>
      <c r="G860" s="276"/>
      <c r="H860" s="276"/>
      <c r="I860" s="276"/>
      <c r="J860" s="276"/>
      <c r="K860" s="276"/>
      <c r="L860" s="276"/>
      <c r="M860" s="276"/>
      <c r="N860" s="276"/>
      <c r="O860" s="276"/>
      <c r="P860" s="276"/>
      <c r="Q860" s="276"/>
      <c r="R860" s="276"/>
      <c r="S860" s="286"/>
      <c r="T860" s="286"/>
      <c r="AM860" s="259"/>
    </row>
    <row r="861" spans="1:39" s="258" customFormat="1" ht="48.75" customHeight="1" x14ac:dyDescent="0.45">
      <c r="A861" s="278"/>
      <c r="B861" s="253"/>
      <c r="C861" s="253"/>
      <c r="D861" s="68"/>
      <c r="E861" s="253"/>
      <c r="F861" s="253"/>
      <c r="G861" s="253"/>
      <c r="H861" s="253"/>
      <c r="I861" s="253"/>
      <c r="J861" s="253"/>
      <c r="K861" s="253"/>
      <c r="L861" s="253"/>
      <c r="M861" s="253"/>
      <c r="N861" s="253"/>
      <c r="O861" s="253"/>
      <c r="P861" s="253"/>
      <c r="Q861" s="253"/>
      <c r="R861" s="253"/>
      <c r="S861" s="335"/>
      <c r="T861" s="335"/>
      <c r="AM861" s="259"/>
    </row>
    <row r="862" spans="1:39" s="245" customFormat="1" ht="48.75" customHeight="1" x14ac:dyDescent="0.5">
      <c r="A862" s="55" t="s">
        <v>31</v>
      </c>
      <c r="B862" s="241" t="s">
        <v>7</v>
      </c>
      <c r="C862" s="242" t="s">
        <v>32</v>
      </c>
      <c r="D862" s="243" t="s">
        <v>33</v>
      </c>
      <c r="E862" s="242" t="s">
        <v>34</v>
      </c>
      <c r="F862" s="319" t="s">
        <v>11</v>
      </c>
      <c r="G862" s="319" t="s">
        <v>12</v>
      </c>
      <c r="H862" s="319" t="s">
        <v>13</v>
      </c>
      <c r="I862" s="319" t="s">
        <v>14</v>
      </c>
      <c r="J862" s="319" t="s">
        <v>15</v>
      </c>
      <c r="K862" s="319" t="s">
        <v>16</v>
      </c>
      <c r="L862" s="319" t="s">
        <v>17</v>
      </c>
      <c r="M862" s="319" t="s">
        <v>18</v>
      </c>
      <c r="N862" s="319" t="s">
        <v>19</v>
      </c>
      <c r="O862" s="319" t="s">
        <v>20</v>
      </c>
      <c r="P862" s="319" t="s">
        <v>21</v>
      </c>
      <c r="Q862" s="319" t="s">
        <v>22</v>
      </c>
      <c r="R862" s="319" t="s">
        <v>23</v>
      </c>
      <c r="S862" s="20" t="s">
        <v>24</v>
      </c>
      <c r="T862" s="20" t="s">
        <v>25</v>
      </c>
      <c r="AM862" s="246"/>
    </row>
    <row r="863" spans="1:39" ht="48.75" customHeight="1" x14ac:dyDescent="0.25">
      <c r="A863" s="307">
        <v>20</v>
      </c>
      <c r="B863" s="17"/>
      <c r="C863" s="247" t="s">
        <v>220</v>
      </c>
      <c r="D863" s="19" t="str">
        <f>C863</f>
        <v>SANDRA ISIOMA MBAN</v>
      </c>
      <c r="E863" s="26">
        <v>2025</v>
      </c>
      <c r="F863" s="27">
        <v>3000</v>
      </c>
      <c r="G863" s="159"/>
      <c r="H863" s="159"/>
      <c r="I863" s="159"/>
      <c r="J863" s="159"/>
      <c r="K863" s="336">
        <v>30000</v>
      </c>
      <c r="L863" s="159"/>
      <c r="M863" s="159"/>
      <c r="N863" s="159"/>
      <c r="O863" s="159"/>
      <c r="P863" s="159"/>
      <c r="Q863" s="159"/>
      <c r="R863" s="159"/>
      <c r="S863" s="37">
        <f>SUM(G863:R863)</f>
        <v>30000</v>
      </c>
      <c r="T863" s="159">
        <f>SUM(F863*IF(E863=_current_year,_current_month-5,7)-(S863))</f>
        <v>-9000</v>
      </c>
    </row>
    <row r="864" spans="1:39" ht="48.75" customHeight="1" x14ac:dyDescent="0.25">
      <c r="A864" s="307"/>
      <c r="B864" s="17"/>
      <c r="C864" s="355"/>
      <c r="D864" s="19"/>
      <c r="E864" s="30"/>
      <c r="F864" s="27"/>
      <c r="G864" s="67"/>
      <c r="H864" s="67"/>
      <c r="I864" s="67"/>
      <c r="J864" s="67"/>
      <c r="K864" s="67"/>
      <c r="L864" s="67"/>
      <c r="M864" s="67"/>
      <c r="N864" s="67"/>
      <c r="O864" s="67"/>
      <c r="P864" s="67"/>
      <c r="Q864" s="67"/>
      <c r="R864" s="67"/>
      <c r="S864" s="67"/>
      <c r="T864" s="67"/>
    </row>
    <row r="865" spans="1:39" s="220" customFormat="1" ht="48.75" customHeight="1" x14ac:dyDescent="0.4">
      <c r="A865" s="307"/>
      <c r="B865" s="33" t="s">
        <v>28</v>
      </c>
      <c r="C865" s="308"/>
      <c r="D865" s="35"/>
      <c r="E865" s="30"/>
      <c r="F865" s="27"/>
      <c r="G865" s="67"/>
      <c r="H865" s="67"/>
      <c r="I865" s="67"/>
      <c r="J865" s="67"/>
      <c r="K865" s="67"/>
      <c r="L865" s="67"/>
      <c r="M865" s="67"/>
      <c r="N865" s="67"/>
      <c r="O865" s="67"/>
      <c r="P865" s="67"/>
      <c r="Q865" s="67"/>
      <c r="R865" s="67"/>
      <c r="S865" s="67"/>
      <c r="T865" s="67"/>
      <c r="AM865" s="250"/>
    </row>
    <row r="866" spans="1:39" s="220" customFormat="1" ht="48.75" customHeight="1" x14ac:dyDescent="0.4">
      <c r="A866" s="313" t="s">
        <v>167</v>
      </c>
      <c r="B866" s="33" t="s">
        <v>28</v>
      </c>
      <c r="C866" s="38" t="s">
        <v>52</v>
      </c>
      <c r="D866" s="38"/>
      <c r="E866" s="30"/>
      <c r="F866" s="251"/>
      <c r="G866" s="67"/>
      <c r="H866" s="67"/>
      <c r="I866" s="67"/>
      <c r="J866" s="67"/>
      <c r="K866" s="67"/>
      <c r="L866" s="67"/>
      <c r="M866" s="67"/>
      <c r="N866" s="67"/>
      <c r="O866" s="67"/>
      <c r="P866" s="67"/>
      <c r="Q866" s="67"/>
      <c r="R866" s="67"/>
      <c r="S866" s="67"/>
      <c r="T866" s="67"/>
      <c r="AM866" s="250"/>
    </row>
    <row r="867" spans="1:39" s="258" customFormat="1" ht="48.75" customHeight="1" x14ac:dyDescent="0.45">
      <c r="A867" s="313"/>
      <c r="B867" s="253" t="s">
        <v>28</v>
      </c>
      <c r="C867" s="38"/>
      <c r="D867" s="38"/>
      <c r="E867" s="254"/>
      <c r="F867" s="251"/>
      <c r="G867" s="67"/>
      <c r="H867" s="67"/>
      <c r="I867" s="67"/>
      <c r="J867" s="67"/>
      <c r="K867" s="67"/>
      <c r="L867" s="67"/>
      <c r="M867" s="67"/>
      <c r="N867" s="67"/>
      <c r="O867" s="67"/>
      <c r="P867" s="67"/>
      <c r="Q867" s="67"/>
      <c r="R867" s="67"/>
      <c r="S867" s="67"/>
      <c r="T867" s="67"/>
      <c r="AM867" s="259"/>
    </row>
    <row r="868" spans="1:39" s="258" customFormat="1" ht="48.75" customHeight="1" thickBot="1" x14ac:dyDescent="0.5">
      <c r="A868" s="278"/>
      <c r="B868" s="253"/>
      <c r="C868" s="253"/>
      <c r="D868" s="68"/>
      <c r="E868" s="264"/>
      <c r="F868" s="265"/>
      <c r="G868" s="333"/>
      <c r="H868" s="333"/>
      <c r="I868" s="333"/>
      <c r="J868" s="333"/>
      <c r="K868" s="333"/>
      <c r="L868" s="333"/>
      <c r="M868" s="333"/>
      <c r="N868" s="333"/>
      <c r="O868" s="333"/>
      <c r="P868" s="333"/>
      <c r="Q868" s="333"/>
      <c r="R868" s="333"/>
      <c r="S868" s="334">
        <f>SUM(S863:S867)</f>
        <v>30000</v>
      </c>
      <c r="T868" s="268">
        <f>SUM(T863:T867)</f>
        <v>-9000</v>
      </c>
      <c r="AM868" s="259"/>
    </row>
    <row r="869" spans="1:39" ht="48.75" customHeight="1" x14ac:dyDescent="0.6">
      <c r="A869" s="356"/>
      <c r="C869"/>
      <c r="E869" s="357"/>
      <c r="F869" s="357"/>
      <c r="G869" s="116"/>
      <c r="H869" s="116"/>
      <c r="I869" s="116"/>
      <c r="J869" s="116"/>
      <c r="K869" s="116"/>
      <c r="L869" s="116"/>
      <c r="M869" s="116"/>
      <c r="N869" s="116"/>
      <c r="O869" s="116"/>
      <c r="P869" s="116"/>
      <c r="Q869" s="116"/>
      <c r="R869" s="116"/>
      <c r="S869" s="229"/>
      <c r="T869" s="229"/>
    </row>
    <row r="870" spans="1:39" s="258" customFormat="1" ht="48.75" customHeight="1" x14ac:dyDescent="0.45">
      <c r="A870" s="278"/>
      <c r="B870" s="253"/>
      <c r="C870" s="253"/>
      <c r="D870" s="68"/>
      <c r="E870" s="253"/>
      <c r="F870" s="253"/>
      <c r="G870" s="253"/>
      <c r="H870" s="253"/>
      <c r="I870" s="253"/>
      <c r="J870" s="253"/>
      <c r="K870" s="253"/>
      <c r="L870" s="253"/>
      <c r="M870" s="253"/>
      <c r="N870" s="253"/>
      <c r="O870" s="253"/>
      <c r="P870" s="253"/>
      <c r="Q870" s="253"/>
      <c r="R870" s="253"/>
      <c r="S870" s="335"/>
      <c r="T870" s="335"/>
      <c r="AM870" s="259"/>
    </row>
    <row r="871" spans="1:39" s="245" customFormat="1" ht="48.75" customHeight="1" x14ac:dyDescent="0.5">
      <c r="A871" s="55" t="s">
        <v>31</v>
      </c>
      <c r="B871" s="241" t="s">
        <v>7</v>
      </c>
      <c r="C871" s="242" t="s">
        <v>32</v>
      </c>
      <c r="D871" s="243" t="s">
        <v>33</v>
      </c>
      <c r="E871" s="242" t="s">
        <v>34</v>
      </c>
      <c r="F871" s="319" t="s">
        <v>11</v>
      </c>
      <c r="G871" s="319" t="s">
        <v>12</v>
      </c>
      <c r="H871" s="319" t="s">
        <v>13</v>
      </c>
      <c r="I871" s="319" t="s">
        <v>14</v>
      </c>
      <c r="J871" s="319" t="s">
        <v>15</v>
      </c>
      <c r="K871" s="319" t="s">
        <v>16</v>
      </c>
      <c r="L871" s="319" t="s">
        <v>17</v>
      </c>
      <c r="M871" s="319" t="s">
        <v>18</v>
      </c>
      <c r="N871" s="319" t="s">
        <v>19</v>
      </c>
      <c r="O871" s="319" t="s">
        <v>20</v>
      </c>
      <c r="P871" s="319" t="s">
        <v>21</v>
      </c>
      <c r="Q871" s="319" t="s">
        <v>22</v>
      </c>
      <c r="R871" s="319" t="s">
        <v>23</v>
      </c>
      <c r="S871" s="20" t="s">
        <v>24</v>
      </c>
      <c r="T871" s="20" t="s">
        <v>25</v>
      </c>
      <c r="AM871" s="246"/>
    </row>
    <row r="872" spans="1:39" ht="48.75" customHeight="1" x14ac:dyDescent="0.25">
      <c r="A872" s="307">
        <v>21</v>
      </c>
      <c r="B872" s="17"/>
      <c r="C872" s="247" t="s">
        <v>221</v>
      </c>
      <c r="D872" s="19"/>
      <c r="E872" s="26">
        <v>2025</v>
      </c>
      <c r="F872" s="27">
        <v>10000</v>
      </c>
      <c r="G872" s="159"/>
      <c r="H872" s="159"/>
      <c r="I872" s="159"/>
      <c r="J872" s="159"/>
      <c r="K872" s="159"/>
      <c r="L872" s="159"/>
      <c r="M872" s="159"/>
      <c r="N872" s="159"/>
      <c r="O872" s="159"/>
      <c r="P872" s="159"/>
      <c r="Q872" s="159"/>
      <c r="R872" s="159"/>
      <c r="S872" s="159"/>
      <c r="T872" s="358"/>
    </row>
    <row r="873" spans="1:39" ht="48.75" customHeight="1" x14ac:dyDescent="0.25">
      <c r="A873" s="307"/>
      <c r="B873" s="17"/>
      <c r="C873" s="247"/>
      <c r="D873" s="19"/>
      <c r="E873" s="30">
        <v>2024</v>
      </c>
      <c r="F873" s="27">
        <v>5000</v>
      </c>
      <c r="G873" s="159"/>
      <c r="H873" s="159"/>
      <c r="I873" s="159"/>
      <c r="J873" s="159"/>
      <c r="K873" s="159"/>
      <c r="L873" s="159"/>
      <c r="M873" s="159"/>
      <c r="N873" s="159"/>
      <c r="O873" s="159"/>
      <c r="P873" s="159"/>
      <c r="Q873" s="159"/>
      <c r="R873" s="159"/>
      <c r="S873" s="37">
        <f>SUM(G873:R873)</f>
        <v>0</v>
      </c>
      <c r="T873" s="358"/>
    </row>
    <row r="874" spans="1:39" ht="48.75" customHeight="1" x14ac:dyDescent="0.25">
      <c r="A874" s="307"/>
      <c r="B874" s="17"/>
      <c r="C874" s="247"/>
      <c r="D874" s="19"/>
      <c r="E874" s="30">
        <v>2023</v>
      </c>
      <c r="F874" s="27">
        <v>5000</v>
      </c>
      <c r="G874" s="67" t="s">
        <v>222</v>
      </c>
      <c r="H874" s="67"/>
      <c r="I874" s="67"/>
      <c r="J874" s="67"/>
      <c r="K874" s="67"/>
      <c r="L874" s="67"/>
      <c r="M874" s="67"/>
      <c r="N874" s="67"/>
      <c r="O874" s="67"/>
      <c r="P874" s="67"/>
      <c r="Q874" s="67"/>
      <c r="R874" s="67"/>
      <c r="S874" s="67"/>
      <c r="T874" s="67"/>
    </row>
    <row r="875" spans="1:39" s="220" customFormat="1" ht="48.75" customHeight="1" x14ac:dyDescent="0.4">
      <c r="A875" s="307"/>
      <c r="B875" s="33" t="s">
        <v>28</v>
      </c>
      <c r="C875" s="34" t="s">
        <v>223</v>
      </c>
      <c r="D875" s="35"/>
      <c r="E875" s="30">
        <v>2022</v>
      </c>
      <c r="F875" s="27">
        <v>5000</v>
      </c>
      <c r="G875" s="67"/>
      <c r="H875" s="67"/>
      <c r="I875" s="67"/>
      <c r="J875" s="67"/>
      <c r="K875" s="67"/>
      <c r="L875" s="67"/>
      <c r="M875" s="67"/>
      <c r="N875" s="67"/>
      <c r="O875" s="67"/>
      <c r="P875" s="67"/>
      <c r="Q875" s="67"/>
      <c r="R875" s="67"/>
      <c r="S875" s="67"/>
      <c r="T875" s="67"/>
      <c r="AM875" s="250"/>
    </row>
    <row r="876" spans="1:39" s="220" customFormat="1" ht="48.75" customHeight="1" x14ac:dyDescent="0.4">
      <c r="A876" s="313" t="s">
        <v>167</v>
      </c>
      <c r="B876" s="33" t="s">
        <v>28</v>
      </c>
      <c r="C876" s="38" t="s">
        <v>52</v>
      </c>
      <c r="D876" s="38"/>
      <c r="E876" s="30">
        <v>2021</v>
      </c>
      <c r="F876" s="251">
        <v>5000</v>
      </c>
      <c r="G876" s="67"/>
      <c r="H876" s="67"/>
      <c r="I876" s="67"/>
      <c r="J876" s="67"/>
      <c r="K876" s="67"/>
      <c r="L876" s="67"/>
      <c r="M876" s="67"/>
      <c r="N876" s="67"/>
      <c r="O876" s="67"/>
      <c r="P876" s="67"/>
      <c r="Q876" s="67"/>
      <c r="R876" s="67"/>
      <c r="S876" s="67"/>
      <c r="T876" s="67"/>
      <c r="AM876" s="250"/>
    </row>
    <row r="877" spans="1:39" s="258" customFormat="1" ht="48.75" customHeight="1" x14ac:dyDescent="0.45">
      <c r="A877" s="313"/>
      <c r="B877" s="253" t="s">
        <v>28</v>
      </c>
      <c r="C877" s="38"/>
      <c r="D877" s="38"/>
      <c r="E877" s="254"/>
      <c r="F877" s="251"/>
      <c r="G877" s="67"/>
      <c r="H877" s="67"/>
      <c r="I877" s="67"/>
      <c r="J877" s="67"/>
      <c r="K877" s="67"/>
      <c r="L877" s="67"/>
      <c r="M877" s="67"/>
      <c r="N877" s="67"/>
      <c r="O877" s="67"/>
      <c r="P877" s="67"/>
      <c r="Q877" s="67"/>
      <c r="R877" s="67"/>
      <c r="S877" s="67"/>
      <c r="T877" s="67"/>
      <c r="AM877" s="259"/>
    </row>
    <row r="878" spans="1:39" s="258" customFormat="1" ht="48.75" customHeight="1" thickBot="1" x14ac:dyDescent="0.5">
      <c r="A878" s="278"/>
      <c r="B878" s="253"/>
      <c r="C878" s="253"/>
      <c r="D878" s="68"/>
      <c r="E878" s="264"/>
      <c r="F878" s="265"/>
      <c r="G878" s="333"/>
      <c r="H878" s="333"/>
      <c r="I878" s="333"/>
      <c r="J878" s="333"/>
      <c r="K878" s="333"/>
      <c r="L878" s="333"/>
      <c r="M878" s="333"/>
      <c r="N878" s="333"/>
      <c r="O878" s="333"/>
      <c r="P878" s="333"/>
      <c r="Q878" s="333"/>
      <c r="R878" s="333"/>
      <c r="S878" s="334">
        <f>SUM(S872:S877)</f>
        <v>0</v>
      </c>
      <c r="T878" s="268">
        <f>SUM(T872:T877)</f>
        <v>0</v>
      </c>
      <c r="AM878" s="259"/>
    </row>
    <row r="879" spans="1:39" ht="48.75" customHeight="1" x14ac:dyDescent="0.6">
      <c r="A879" s="356"/>
      <c r="C879"/>
      <c r="E879" s="357"/>
      <c r="F879" s="357"/>
      <c r="G879" s="116"/>
      <c r="H879" s="116"/>
      <c r="I879" s="116"/>
      <c r="J879" s="116"/>
      <c r="K879" s="116"/>
      <c r="L879" s="116"/>
      <c r="M879" s="116"/>
      <c r="N879" s="116"/>
      <c r="O879" s="116"/>
      <c r="P879" s="116"/>
      <c r="Q879" s="116"/>
      <c r="R879" s="116"/>
      <c r="S879" s="229"/>
      <c r="T879" s="229"/>
    </row>
    <row r="880" spans="1:39" s="245" customFormat="1" ht="48.75" customHeight="1" x14ac:dyDescent="0.5">
      <c r="A880" s="55" t="s">
        <v>31</v>
      </c>
      <c r="B880" s="241" t="s">
        <v>7</v>
      </c>
      <c r="C880" s="242" t="s">
        <v>32</v>
      </c>
      <c r="D880" s="243" t="s">
        <v>33</v>
      </c>
      <c r="E880" s="242" t="s">
        <v>34</v>
      </c>
      <c r="F880" s="319" t="s">
        <v>11</v>
      </c>
      <c r="G880" s="319" t="s">
        <v>12</v>
      </c>
      <c r="H880" s="319" t="s">
        <v>13</v>
      </c>
      <c r="I880" s="319" t="s">
        <v>14</v>
      </c>
      <c r="J880" s="319" t="s">
        <v>15</v>
      </c>
      <c r="K880" s="319" t="s">
        <v>16</v>
      </c>
      <c r="L880" s="319" t="s">
        <v>17</v>
      </c>
      <c r="M880" s="319" t="s">
        <v>18</v>
      </c>
      <c r="N880" s="319" t="s">
        <v>19</v>
      </c>
      <c r="O880" s="319" t="s">
        <v>20</v>
      </c>
      <c r="P880" s="319" t="s">
        <v>21</v>
      </c>
      <c r="Q880" s="319" t="s">
        <v>22</v>
      </c>
      <c r="R880" s="319" t="s">
        <v>23</v>
      </c>
      <c r="S880" s="20" t="s">
        <v>24</v>
      </c>
      <c r="T880" s="20" t="s">
        <v>25</v>
      </c>
      <c r="AM880" s="246"/>
    </row>
    <row r="881" spans="1:39" ht="48.75" customHeight="1" x14ac:dyDescent="0.25">
      <c r="A881" s="307" t="s">
        <v>224</v>
      </c>
      <c r="B881" s="17"/>
      <c r="C881" s="247" t="s">
        <v>225</v>
      </c>
      <c r="D881" s="19" t="str">
        <f>C881</f>
        <v>SHEHU AUDU</v>
      </c>
      <c r="E881" s="26">
        <v>2025</v>
      </c>
      <c r="F881" s="27">
        <v>10000</v>
      </c>
      <c r="G881" s="159"/>
      <c r="H881" s="159"/>
      <c r="I881" s="159"/>
      <c r="J881" s="159"/>
      <c r="K881" s="336"/>
      <c r="L881" s="159"/>
      <c r="M881" s="159"/>
      <c r="N881" s="159"/>
      <c r="O881" s="22">
        <v>100000</v>
      </c>
      <c r="P881" s="159"/>
      <c r="Q881" s="159"/>
      <c r="R881" s="159"/>
      <c r="S881" s="37">
        <f>SUM(G881:R881)</f>
        <v>100000</v>
      </c>
      <c r="T881" s="159">
        <f>SUM(F881*IF(E881=_current_year,_current_month-5,6)-(S881))</f>
        <v>-40000</v>
      </c>
    </row>
    <row r="882" spans="1:39" ht="48.75" customHeight="1" x14ac:dyDescent="0.25">
      <c r="A882" s="320"/>
      <c r="B882" s="17"/>
      <c r="C882" s="355"/>
      <c r="D882" s="19"/>
      <c r="E882" s="30"/>
      <c r="F882" s="27"/>
      <c r="G882" s="321" t="s">
        <v>226</v>
      </c>
      <c r="H882" s="322"/>
      <c r="I882" s="322"/>
      <c r="J882" s="322"/>
      <c r="K882" s="322"/>
      <c r="L882" s="322"/>
      <c r="M882" s="322"/>
      <c r="N882" s="322"/>
      <c r="O882" s="322"/>
      <c r="P882" s="322"/>
      <c r="Q882" s="322"/>
      <c r="R882" s="323"/>
      <c r="S882" s="37">
        <v>200000</v>
      </c>
      <c r="T882" s="358">
        <f>390000-S882</f>
        <v>190000</v>
      </c>
    </row>
    <row r="883" spans="1:39" ht="48.75" customHeight="1" x14ac:dyDescent="0.25">
      <c r="A883" s="320"/>
      <c r="B883" s="17"/>
      <c r="C883" s="308"/>
      <c r="D883" s="19"/>
      <c r="E883" s="359" t="s">
        <v>227</v>
      </c>
      <c r="F883" s="360"/>
      <c r="G883" s="360"/>
      <c r="H883" s="360"/>
      <c r="I883" s="360"/>
      <c r="J883" s="360"/>
      <c r="K883" s="360"/>
      <c r="L883" s="360"/>
      <c r="M883" s="360"/>
      <c r="N883" s="360"/>
      <c r="O883" s="360"/>
      <c r="P883" s="360"/>
      <c r="Q883" s="360"/>
      <c r="R883" s="360"/>
      <c r="S883" s="360"/>
      <c r="T883" s="361"/>
    </row>
    <row r="884" spans="1:39" s="220" customFormat="1" ht="48.75" customHeight="1" x14ac:dyDescent="0.4">
      <c r="A884" s="320"/>
      <c r="B884" s="33" t="s">
        <v>28</v>
      </c>
      <c r="C884" s="34"/>
      <c r="D884" s="35"/>
      <c r="E884" s="362"/>
      <c r="F884" s="363"/>
      <c r="G884" s="363"/>
      <c r="H884" s="363"/>
      <c r="I884" s="363"/>
      <c r="J884" s="363"/>
      <c r="K884" s="363"/>
      <c r="L884" s="363"/>
      <c r="M884" s="363"/>
      <c r="N884" s="363"/>
      <c r="O884" s="363"/>
      <c r="P884" s="363"/>
      <c r="Q884" s="363"/>
      <c r="R884" s="363"/>
      <c r="S884" s="363"/>
      <c r="T884" s="364"/>
      <c r="AM884" s="250"/>
    </row>
    <row r="885" spans="1:39" s="220" customFormat="1" ht="48.75" customHeight="1" x14ac:dyDescent="0.4">
      <c r="A885" s="313" t="s">
        <v>167</v>
      </c>
      <c r="B885" s="33" t="s">
        <v>28</v>
      </c>
      <c r="C885" s="38" t="s">
        <v>52</v>
      </c>
      <c r="D885" s="124"/>
      <c r="E885" s="362"/>
      <c r="F885" s="363"/>
      <c r="G885" s="363"/>
      <c r="H885" s="363"/>
      <c r="I885" s="363"/>
      <c r="J885" s="363"/>
      <c r="K885" s="363"/>
      <c r="L885" s="363"/>
      <c r="M885" s="363"/>
      <c r="N885" s="363"/>
      <c r="O885" s="363"/>
      <c r="P885" s="363"/>
      <c r="Q885" s="363"/>
      <c r="R885" s="363"/>
      <c r="S885" s="363"/>
      <c r="T885" s="364"/>
      <c r="AM885" s="250"/>
    </row>
    <row r="886" spans="1:39" s="258" customFormat="1" ht="48.75" customHeight="1" x14ac:dyDescent="0.45">
      <c r="A886" s="313"/>
      <c r="B886" s="253" t="s">
        <v>28</v>
      </c>
      <c r="C886" s="125"/>
      <c r="D886" s="126"/>
      <c r="E886" s="365"/>
      <c r="F886" s="366"/>
      <c r="G886" s="366"/>
      <c r="H886" s="366"/>
      <c r="I886" s="366"/>
      <c r="J886" s="366"/>
      <c r="K886" s="366"/>
      <c r="L886" s="366"/>
      <c r="M886" s="366"/>
      <c r="N886" s="366"/>
      <c r="O886" s="366"/>
      <c r="P886" s="366"/>
      <c r="Q886" s="366"/>
      <c r="R886" s="366"/>
      <c r="S886" s="366"/>
      <c r="T886" s="367"/>
      <c r="AM886" s="259"/>
    </row>
    <row r="887" spans="1:39" s="258" customFormat="1" ht="48.75" customHeight="1" thickBot="1" x14ac:dyDescent="0.5">
      <c r="A887" s="278"/>
      <c r="B887" s="253"/>
      <c r="C887" s="253"/>
      <c r="D887" s="68"/>
      <c r="E887" s="264"/>
      <c r="F887" s="265"/>
      <c r="G887" s="333"/>
      <c r="H887" s="333"/>
      <c r="I887" s="333"/>
      <c r="J887" s="333"/>
      <c r="K887" s="333"/>
      <c r="L887" s="333"/>
      <c r="M887" s="333"/>
      <c r="N887" s="333"/>
      <c r="O887" s="333"/>
      <c r="P887" s="333"/>
      <c r="Q887" s="333"/>
      <c r="R887" s="333"/>
      <c r="S887" s="334">
        <f>SUM(S881:S886)</f>
        <v>300000</v>
      </c>
      <c r="T887" s="268">
        <f>SUM(T881:T886)</f>
        <v>150000</v>
      </c>
      <c r="AM887" s="259"/>
    </row>
    <row r="888" spans="1:39" ht="48.75" customHeight="1" x14ac:dyDescent="0.6">
      <c r="A888" s="356"/>
      <c r="C888"/>
      <c r="E888" s="357"/>
      <c r="F888" s="357"/>
      <c r="G888" s="116"/>
      <c r="H888" s="116"/>
      <c r="I888" s="116"/>
      <c r="J888" s="116"/>
      <c r="K888" s="116"/>
      <c r="L888" s="116"/>
      <c r="M888" s="116"/>
      <c r="N888" s="116"/>
      <c r="O888" s="116"/>
      <c r="P888" s="116"/>
      <c r="Q888" s="116"/>
      <c r="R888" s="116"/>
      <c r="S888" s="229"/>
      <c r="T888" s="229"/>
    </row>
    <row r="889" spans="1:39" s="258" customFormat="1" ht="48.75" customHeight="1" x14ac:dyDescent="0.45">
      <c r="A889" s="278"/>
      <c r="B889" s="253"/>
      <c r="C889" s="253"/>
      <c r="D889" s="68"/>
      <c r="E889" s="253"/>
      <c r="F889" s="253"/>
      <c r="G889" s="253"/>
      <c r="H889" s="253"/>
      <c r="I889" s="253"/>
      <c r="J889" s="253"/>
      <c r="K889" s="253"/>
      <c r="L889" s="253"/>
      <c r="M889" s="253"/>
      <c r="N889" s="253"/>
      <c r="O889" s="253"/>
      <c r="P889" s="253"/>
      <c r="Q889" s="253"/>
      <c r="R889" s="253"/>
      <c r="S889" s="335"/>
      <c r="T889" s="335"/>
      <c r="AM889" s="259"/>
    </row>
    <row r="890" spans="1:39" s="245" customFormat="1" ht="48.75" customHeight="1" x14ac:dyDescent="0.5">
      <c r="A890" s="55" t="s">
        <v>31</v>
      </c>
      <c r="B890" s="241" t="s">
        <v>7</v>
      </c>
      <c r="C890" s="242" t="s">
        <v>32</v>
      </c>
      <c r="D890" s="243" t="s">
        <v>33</v>
      </c>
      <c r="E890" s="242" t="s">
        <v>34</v>
      </c>
      <c r="F890" s="319" t="s">
        <v>11</v>
      </c>
      <c r="G890" s="319" t="s">
        <v>12</v>
      </c>
      <c r="H890" s="319" t="s">
        <v>13</v>
      </c>
      <c r="I890" s="319" t="s">
        <v>14</v>
      </c>
      <c r="J890" s="319" t="s">
        <v>15</v>
      </c>
      <c r="K890" s="319" t="s">
        <v>16</v>
      </c>
      <c r="L890" s="319" t="s">
        <v>17</v>
      </c>
      <c r="M890" s="319" t="s">
        <v>18</v>
      </c>
      <c r="N890" s="319" t="s">
        <v>19</v>
      </c>
      <c r="O890" s="319" t="s">
        <v>20</v>
      </c>
      <c r="P890" s="319" t="s">
        <v>21</v>
      </c>
      <c r="Q890" s="319" t="s">
        <v>22</v>
      </c>
      <c r="R890" s="319" t="s">
        <v>23</v>
      </c>
      <c r="S890" s="20" t="s">
        <v>24</v>
      </c>
      <c r="T890" s="20" t="s">
        <v>25</v>
      </c>
      <c r="AM890" s="246"/>
    </row>
    <row r="891" spans="1:39" ht="48.75" customHeight="1" x14ac:dyDescent="0.25">
      <c r="A891" s="307" t="s">
        <v>228</v>
      </c>
      <c r="B891" s="17"/>
      <c r="C891" s="247" t="s">
        <v>229</v>
      </c>
      <c r="D891" s="19"/>
      <c r="E891" s="26">
        <v>2025</v>
      </c>
      <c r="F891" s="27">
        <v>10000</v>
      </c>
      <c r="G891" s="159"/>
      <c r="H891" s="159"/>
      <c r="I891" s="159"/>
      <c r="J891" s="159"/>
      <c r="K891" s="22">
        <v>60000</v>
      </c>
      <c r="L891" s="159"/>
      <c r="M891" s="159"/>
      <c r="N891" s="159"/>
      <c r="O891" s="159">
        <v>235000</v>
      </c>
      <c r="P891" s="159"/>
      <c r="Q891" s="159"/>
      <c r="R891" s="159"/>
      <c r="S891" s="37">
        <f>SUM(G891:R891)</f>
        <v>295000</v>
      </c>
      <c r="T891" s="22">
        <f>SUM(F891*IF(E891=_current_year,_current_month,12)-(S891))</f>
        <v>-175000</v>
      </c>
    </row>
    <row r="892" spans="1:39" ht="48.75" customHeight="1" x14ac:dyDescent="0.25">
      <c r="A892" s="307"/>
      <c r="B892" s="17"/>
      <c r="C892" s="247"/>
      <c r="D892" s="19"/>
      <c r="E892" s="26">
        <v>2024</v>
      </c>
      <c r="F892" s="27">
        <v>5000</v>
      </c>
      <c r="G892" s="159"/>
      <c r="H892" s="159"/>
      <c r="I892" s="159"/>
      <c r="J892" s="159"/>
      <c r="K892" s="159"/>
      <c r="L892" s="159"/>
      <c r="M892" s="159"/>
      <c r="N892" s="159"/>
      <c r="O892" s="336"/>
      <c r="P892" s="159"/>
      <c r="Q892" s="159"/>
      <c r="R892" s="159"/>
      <c r="S892" s="37">
        <f>SUM(G892:R892)</f>
        <v>0</v>
      </c>
      <c r="T892" s="22">
        <f>SUM(15000-(S892))</f>
        <v>15000</v>
      </c>
    </row>
    <row r="893" spans="1:39" ht="48.75" customHeight="1" x14ac:dyDescent="0.25">
      <c r="A893" s="307"/>
      <c r="B893" s="17"/>
      <c r="C893" s="247"/>
      <c r="D893" s="19"/>
      <c r="E893" s="30"/>
      <c r="F893" s="27"/>
      <c r="G893" s="321" t="s">
        <v>226</v>
      </c>
      <c r="H893" s="321"/>
      <c r="I893" s="321"/>
      <c r="J893" s="321"/>
      <c r="K893" s="321"/>
      <c r="L893" s="321"/>
      <c r="M893" s="321"/>
      <c r="N893" s="321"/>
      <c r="O893" s="321"/>
      <c r="P893" s="321"/>
      <c r="Q893" s="321"/>
      <c r="R893" s="321"/>
      <c r="S893" s="37">
        <v>200000</v>
      </c>
      <c r="T893" s="257">
        <f>390000-S893</f>
        <v>190000</v>
      </c>
    </row>
    <row r="894" spans="1:39" ht="48.75" customHeight="1" x14ac:dyDescent="0.25">
      <c r="A894" s="307"/>
      <c r="B894" s="17"/>
      <c r="C894" s="247"/>
      <c r="D894" s="19"/>
      <c r="E894" s="30"/>
      <c r="F894" s="27"/>
      <c r="G894" s="359" t="s">
        <v>230</v>
      </c>
      <c r="H894" s="359"/>
      <c r="I894" s="359"/>
      <c r="J894" s="359"/>
      <c r="K894" s="359"/>
      <c r="L894" s="359"/>
      <c r="M894" s="359"/>
      <c r="N894" s="359"/>
      <c r="O894" s="359"/>
      <c r="P894" s="359"/>
      <c r="Q894" s="359"/>
      <c r="R894" s="359"/>
      <c r="S894" s="359"/>
      <c r="T894" s="359"/>
    </row>
    <row r="895" spans="1:39" s="220" customFormat="1" ht="48.75" customHeight="1" x14ac:dyDescent="0.4">
      <c r="A895" s="307"/>
      <c r="B895" s="33" t="s">
        <v>28</v>
      </c>
      <c r="C895" s="34"/>
      <c r="D895" s="35"/>
      <c r="E895" s="30"/>
      <c r="F895" s="27"/>
      <c r="G895" s="359"/>
      <c r="H895" s="359"/>
      <c r="I895" s="359"/>
      <c r="J895" s="359"/>
      <c r="K895" s="359"/>
      <c r="L895" s="359"/>
      <c r="M895" s="359"/>
      <c r="N895" s="359"/>
      <c r="O895" s="359"/>
      <c r="P895" s="359"/>
      <c r="Q895" s="359"/>
      <c r="R895" s="359"/>
      <c r="S895" s="359"/>
      <c r="T895" s="359"/>
      <c r="AM895" s="250"/>
    </row>
    <row r="896" spans="1:39" s="220" customFormat="1" ht="48.75" customHeight="1" x14ac:dyDescent="0.4">
      <c r="A896" s="313" t="s">
        <v>167</v>
      </c>
      <c r="B896" s="33" t="s">
        <v>28</v>
      </c>
      <c r="C896" s="38" t="s">
        <v>52</v>
      </c>
      <c r="D896" s="38"/>
      <c r="E896" s="30"/>
      <c r="F896" s="251"/>
      <c r="G896" s="359"/>
      <c r="H896" s="359"/>
      <c r="I896" s="359"/>
      <c r="J896" s="359"/>
      <c r="K896" s="359"/>
      <c r="L896" s="359"/>
      <c r="M896" s="359"/>
      <c r="N896" s="359"/>
      <c r="O896" s="359"/>
      <c r="P896" s="359"/>
      <c r="Q896" s="359"/>
      <c r="R896" s="359"/>
      <c r="S896" s="359"/>
      <c r="T896" s="359"/>
      <c r="AM896" s="250"/>
    </row>
    <row r="897" spans="1:39" s="258" customFormat="1" ht="48.75" customHeight="1" x14ac:dyDescent="0.45">
      <c r="A897" s="313"/>
      <c r="B897" s="253" t="s">
        <v>28</v>
      </c>
      <c r="C897" s="38"/>
      <c r="D897" s="38"/>
      <c r="E897" s="254"/>
      <c r="F897" s="251"/>
      <c r="G897" s="359"/>
      <c r="H897" s="359"/>
      <c r="I897" s="359"/>
      <c r="J897" s="359"/>
      <c r="K897" s="359"/>
      <c r="L897" s="359"/>
      <c r="M897" s="359"/>
      <c r="N897" s="359"/>
      <c r="O897" s="359"/>
      <c r="P897" s="359"/>
      <c r="Q897" s="359"/>
      <c r="R897" s="359"/>
      <c r="S897" s="359"/>
      <c r="T897" s="359"/>
      <c r="AM897" s="259"/>
    </row>
    <row r="898" spans="1:39" s="258" customFormat="1" ht="48.75" customHeight="1" thickBot="1" x14ac:dyDescent="0.5">
      <c r="A898" s="278"/>
      <c r="B898" s="253"/>
      <c r="C898" s="253"/>
      <c r="D898" s="68"/>
      <c r="E898" s="264"/>
      <c r="F898" s="265"/>
      <c r="G898" s="333"/>
      <c r="H898" s="333"/>
      <c r="I898" s="333"/>
      <c r="J898" s="333"/>
      <c r="K898" s="333"/>
      <c r="L898" s="333"/>
      <c r="M898" s="333"/>
      <c r="N898" s="333"/>
      <c r="O898" s="333"/>
      <c r="P898" s="333"/>
      <c r="Q898" s="333"/>
      <c r="R898" s="333"/>
      <c r="S898" s="334">
        <f>SUM(S891:S897)</f>
        <v>495000</v>
      </c>
      <c r="T898" s="268">
        <f>SUM(T891:T897)</f>
        <v>30000</v>
      </c>
      <c r="AM898" s="259"/>
    </row>
    <row r="899" spans="1:39" ht="52.5" customHeight="1" x14ac:dyDescent="0.25"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</row>
    <row r="900" spans="1:39" s="374" customFormat="1" ht="52.5" customHeight="1" x14ac:dyDescent="0.4">
      <c r="A900" s="368" t="s">
        <v>6</v>
      </c>
      <c r="B900" s="368" t="s">
        <v>7</v>
      </c>
      <c r="C900" s="369" t="s">
        <v>8</v>
      </c>
      <c r="D900" s="370" t="s">
        <v>231</v>
      </c>
      <c r="E900" s="371" t="s">
        <v>10</v>
      </c>
      <c r="F900" s="372" t="s">
        <v>11</v>
      </c>
      <c r="G900" s="373" t="s">
        <v>12</v>
      </c>
      <c r="H900" s="373" t="s">
        <v>13</v>
      </c>
      <c r="I900" s="373" t="s">
        <v>14</v>
      </c>
      <c r="J900" s="373" t="s">
        <v>15</v>
      </c>
      <c r="K900" s="373" t="s">
        <v>16</v>
      </c>
      <c r="L900" s="373" t="s">
        <v>17</v>
      </c>
      <c r="M900" s="373" t="s">
        <v>18</v>
      </c>
      <c r="N900" s="373" t="s">
        <v>19</v>
      </c>
      <c r="O900" s="373" t="s">
        <v>20</v>
      </c>
      <c r="P900" s="373" t="s">
        <v>21</v>
      </c>
      <c r="Q900" s="373" t="s">
        <v>22</v>
      </c>
      <c r="R900" s="373" t="s">
        <v>23</v>
      </c>
      <c r="S900" s="20" t="s">
        <v>24</v>
      </c>
      <c r="T900" s="20" t="s">
        <v>25</v>
      </c>
      <c r="AM900" s="375"/>
    </row>
    <row r="901" spans="1:39" ht="52.5" customHeight="1" x14ac:dyDescent="0.6">
      <c r="A901" s="376" t="s">
        <v>232</v>
      </c>
      <c r="B901" s="17"/>
      <c r="C901" s="377" t="s">
        <v>233</v>
      </c>
      <c r="D901" s="19" t="str">
        <f>C901</f>
        <v>CHINENYE ESOEDO</v>
      </c>
      <c r="E901" s="26">
        <v>2025</v>
      </c>
      <c r="F901" s="251">
        <v>5000</v>
      </c>
      <c r="H901" s="336">
        <v>30000</v>
      </c>
      <c r="I901" s="159"/>
      <c r="J901" s="159"/>
      <c r="K901" s="159"/>
      <c r="L901" s="159"/>
      <c r="M901" s="159"/>
      <c r="N901" s="159">
        <v>5000</v>
      </c>
      <c r="O901" s="159">
        <v>5000</v>
      </c>
      <c r="P901" s="159"/>
      <c r="Q901" s="159"/>
      <c r="R901" s="159"/>
      <c r="S901" s="64">
        <f>SUM(H901:R901)</f>
        <v>40000</v>
      </c>
      <c r="T901" s="29">
        <f>SUM(F901*IF(E901=_current_year,_current_month,12)-(S901))-5000</f>
        <v>15000</v>
      </c>
    </row>
    <row r="902" spans="1:39" ht="52.5" customHeight="1" x14ac:dyDescent="0.25">
      <c r="A902" s="378"/>
      <c r="B902" s="17"/>
      <c r="C902" s="379"/>
      <c r="D902" s="19"/>
      <c r="E902" s="73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</row>
    <row r="903" spans="1:39" ht="52.5" customHeight="1" x14ac:dyDescent="0.25">
      <c r="A903" s="378"/>
      <c r="B903" s="17"/>
      <c r="C903" s="380"/>
      <c r="D903" s="19"/>
      <c r="E903" s="77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</row>
    <row r="904" spans="1:39" s="220" customFormat="1" ht="52.5" customHeight="1" x14ac:dyDescent="0.4">
      <c r="A904" s="378"/>
      <c r="B904" s="33" t="s">
        <v>28</v>
      </c>
      <c r="C904" s="34" t="s">
        <v>234</v>
      </c>
      <c r="D904" s="35"/>
      <c r="E904" s="77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AM904" s="250"/>
    </row>
    <row r="905" spans="1:39" s="220" customFormat="1" ht="52.5" customHeight="1" x14ac:dyDescent="0.4">
      <c r="A905" s="313" t="s">
        <v>167</v>
      </c>
      <c r="B905" s="33" t="s">
        <v>28</v>
      </c>
      <c r="C905" s="38" t="s">
        <v>52</v>
      </c>
      <c r="D905" s="124"/>
      <c r="E905" s="77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AM905" s="250"/>
    </row>
    <row r="906" spans="1:39" s="258" customFormat="1" ht="52.5" customHeight="1" x14ac:dyDescent="0.45">
      <c r="A906" s="313"/>
      <c r="B906" s="381" t="s">
        <v>28</v>
      </c>
      <c r="C906" s="125"/>
      <c r="D906" s="126"/>
      <c r="E906" s="167"/>
      <c r="F906" s="168"/>
      <c r="G906" s="168"/>
      <c r="H906" s="168"/>
      <c r="I906" s="168"/>
      <c r="J906" s="168"/>
      <c r="K906" s="168"/>
      <c r="L906" s="168"/>
      <c r="M906" s="168"/>
      <c r="N906" s="168"/>
      <c r="O906" s="168"/>
      <c r="P906" s="168"/>
      <c r="Q906" s="168"/>
      <c r="R906" s="168"/>
      <c r="S906" s="168"/>
      <c r="T906" s="168"/>
      <c r="AM906" s="259"/>
    </row>
    <row r="907" spans="1:39" s="258" customFormat="1" ht="52.5" customHeight="1" thickBot="1" x14ac:dyDescent="0.8">
      <c r="A907" s="382"/>
      <c r="B907" s="381"/>
      <c r="C907" s="383"/>
      <c r="D907" s="384"/>
      <c r="E907" s="385"/>
      <c r="F907" s="265"/>
      <c r="G907" s="386"/>
      <c r="H907" s="386"/>
      <c r="I907" s="386"/>
      <c r="J907" s="386"/>
      <c r="K907" s="386"/>
      <c r="L907" s="386"/>
      <c r="M907" s="386"/>
      <c r="N907" s="386"/>
      <c r="O907" s="386"/>
      <c r="P907" s="386"/>
      <c r="Q907" s="386"/>
      <c r="R907" s="386"/>
      <c r="S907" s="387">
        <f>SUM(S901:S906)</f>
        <v>40000</v>
      </c>
      <c r="T907" s="87">
        <f>SUM(T901:T906)</f>
        <v>15000</v>
      </c>
      <c r="AM907" s="259"/>
    </row>
    <row r="908" spans="1:39" s="258" customFormat="1" ht="52.5" customHeight="1" x14ac:dyDescent="0.75">
      <c r="A908" s="382"/>
      <c r="B908" s="381"/>
      <c r="C908" s="383"/>
      <c r="D908" s="384"/>
      <c r="E908" s="388"/>
      <c r="F908" s="234"/>
      <c r="G908" s="389"/>
      <c r="H908" s="389"/>
      <c r="I908" s="389"/>
      <c r="J908" s="389"/>
      <c r="K908" s="389"/>
      <c r="L908" s="389"/>
      <c r="M908" s="389"/>
      <c r="N908" s="389"/>
      <c r="O908" s="389"/>
      <c r="P908" s="389"/>
      <c r="Q908" s="389"/>
      <c r="R908" s="389"/>
      <c r="S908" s="237"/>
      <c r="T908" s="237"/>
      <c r="AM908" s="259"/>
    </row>
    <row r="909" spans="1:39" ht="48.75" customHeight="1" x14ac:dyDescent="0.6">
      <c r="A909" s="356"/>
      <c r="C909"/>
      <c r="E909" s="357"/>
      <c r="F909" s="357"/>
      <c r="G909" s="116"/>
      <c r="H909" s="116"/>
      <c r="I909" s="116"/>
      <c r="J909" s="116"/>
      <c r="K909" s="116"/>
      <c r="L909" s="116"/>
      <c r="M909" s="116"/>
      <c r="N909" s="116"/>
      <c r="O909" s="116"/>
      <c r="P909" s="116"/>
      <c r="Q909" s="116"/>
      <c r="R909" s="116"/>
      <c r="S909" s="229"/>
      <c r="T909" s="229"/>
    </row>
    <row r="910" spans="1:39" s="258" customFormat="1" ht="48.75" customHeight="1" x14ac:dyDescent="0.45">
      <c r="A910" s="278"/>
      <c r="B910" s="253"/>
      <c r="C910" s="253"/>
      <c r="D910" s="68"/>
      <c r="E910" s="253"/>
      <c r="F910" s="253"/>
      <c r="G910" s="253"/>
      <c r="H910" s="253"/>
      <c r="I910" s="253"/>
      <c r="J910" s="253"/>
      <c r="K910" s="253"/>
      <c r="L910" s="253"/>
      <c r="M910" s="253"/>
      <c r="N910" s="253"/>
      <c r="O910" s="253"/>
      <c r="P910" s="253"/>
      <c r="Q910" s="253"/>
      <c r="R910" s="253"/>
      <c r="S910" s="269"/>
      <c r="T910" s="269"/>
      <c r="AM910" s="259"/>
    </row>
    <row r="911" spans="1:39" s="245" customFormat="1" ht="59.25" customHeight="1" x14ac:dyDescent="0.5">
      <c r="A911" s="55" t="s">
        <v>31</v>
      </c>
      <c r="B911" s="241" t="s">
        <v>7</v>
      </c>
      <c r="C911" s="242" t="s">
        <v>32</v>
      </c>
      <c r="D911" s="243" t="s">
        <v>33</v>
      </c>
      <c r="E911" s="242" t="s">
        <v>34</v>
      </c>
      <c r="F911" s="244" t="s">
        <v>11</v>
      </c>
      <c r="G911" s="244" t="s">
        <v>12</v>
      </c>
      <c r="H911" s="244" t="s">
        <v>13</v>
      </c>
      <c r="I911" s="244" t="s">
        <v>14</v>
      </c>
      <c r="J911" s="244" t="s">
        <v>15</v>
      </c>
      <c r="K911" s="244" t="s">
        <v>16</v>
      </c>
      <c r="L911" s="244" t="s">
        <v>17</v>
      </c>
      <c r="M911" s="244" t="s">
        <v>18</v>
      </c>
      <c r="N911" s="244" t="s">
        <v>19</v>
      </c>
      <c r="O911" s="244" t="s">
        <v>20</v>
      </c>
      <c r="P911" s="244" t="s">
        <v>21</v>
      </c>
      <c r="Q911" s="244" t="s">
        <v>22</v>
      </c>
      <c r="R911" s="244" t="s">
        <v>23</v>
      </c>
      <c r="S911" s="20" t="s">
        <v>24</v>
      </c>
      <c r="T911" s="20" t="s">
        <v>25</v>
      </c>
      <c r="AM911" s="246"/>
    </row>
    <row r="912" spans="1:39" ht="51.75" customHeight="1" x14ac:dyDescent="0.25">
      <c r="A912" s="307" t="s">
        <v>235</v>
      </c>
      <c r="B912" s="17"/>
      <c r="C912" s="279" t="s">
        <v>236</v>
      </c>
      <c r="D912" s="19"/>
      <c r="E912" s="26">
        <v>2025</v>
      </c>
      <c r="F912" s="27">
        <v>10000</v>
      </c>
      <c r="G912" s="22"/>
      <c r="H912" s="22"/>
      <c r="I912" s="22"/>
      <c r="J912" s="22"/>
      <c r="K912" s="22"/>
      <c r="L912" s="22"/>
      <c r="M912" s="22">
        <v>250000</v>
      </c>
      <c r="N912" s="22"/>
      <c r="O912" s="22">
        <v>100000</v>
      </c>
      <c r="P912" s="22"/>
      <c r="Q912" s="22"/>
      <c r="R912" s="22"/>
      <c r="S912" s="64">
        <f>SUM(G912:R912)</f>
        <v>350000</v>
      </c>
      <c r="T912" s="29">
        <f>SUM(F912*IF(E912=_current_year,_current_month,12)-(S912))</f>
        <v>-230000</v>
      </c>
    </row>
    <row r="913" spans="1:39" ht="51.75" customHeight="1" x14ac:dyDescent="0.6">
      <c r="A913" s="307"/>
      <c r="B913" s="17"/>
      <c r="C913" s="279"/>
      <c r="D913" s="19"/>
      <c r="E913" s="30">
        <v>2024</v>
      </c>
      <c r="F913" s="27">
        <v>5000</v>
      </c>
      <c r="G913" s="22"/>
      <c r="H913" s="22"/>
      <c r="J913" s="22"/>
      <c r="K913" s="22"/>
      <c r="L913" s="22"/>
      <c r="M913" s="22"/>
      <c r="N913" s="60">
        <v>60000</v>
      </c>
      <c r="P913" s="22"/>
      <c r="R913" s="22"/>
      <c r="S913" s="37">
        <f>SUM(G913:R913)</f>
        <v>60000</v>
      </c>
      <c r="T913" s="22">
        <f>SUM(20000-(S913))</f>
        <v>-40000</v>
      </c>
    </row>
    <row r="914" spans="1:39" ht="48.75" customHeight="1" x14ac:dyDescent="0.25">
      <c r="A914" s="307"/>
      <c r="B914" s="17"/>
      <c r="C914" s="279"/>
      <c r="D914" s="19"/>
      <c r="E914" s="30"/>
      <c r="F914" s="27"/>
      <c r="G914" s="321" t="s">
        <v>237</v>
      </c>
      <c r="H914" s="321"/>
      <c r="I914" s="321"/>
      <c r="J914" s="321"/>
      <c r="K914" s="321"/>
      <c r="L914" s="321"/>
      <c r="M914" s="321"/>
      <c r="N914" s="321"/>
      <c r="O914" s="321"/>
      <c r="P914" s="321"/>
      <c r="Q914" s="321"/>
      <c r="R914" s="321"/>
      <c r="S914" s="37">
        <v>90000</v>
      </c>
      <c r="T914" s="257">
        <f>390000-S914</f>
        <v>300000</v>
      </c>
    </row>
    <row r="915" spans="1:39" ht="51.75" customHeight="1" x14ac:dyDescent="0.25">
      <c r="A915" s="307"/>
      <c r="B915" s="17"/>
      <c r="C915" s="279"/>
      <c r="D915" s="19"/>
      <c r="E915" s="390" t="s">
        <v>238</v>
      </c>
      <c r="F915" s="391"/>
      <c r="G915" s="391"/>
      <c r="H915" s="391"/>
      <c r="I915" s="391"/>
      <c r="J915" s="391"/>
      <c r="K915" s="391"/>
      <c r="L915" s="391"/>
      <c r="M915" s="391"/>
      <c r="N915" s="391"/>
      <c r="O915" s="391"/>
      <c r="P915" s="391"/>
      <c r="Q915" s="391"/>
      <c r="R915" s="391"/>
      <c r="S915" s="391"/>
      <c r="T915" s="391"/>
    </row>
    <row r="916" spans="1:39" s="220" customFormat="1" ht="48" customHeight="1" x14ac:dyDescent="0.4">
      <c r="A916" s="307"/>
      <c r="B916" s="33" t="s">
        <v>28</v>
      </c>
      <c r="C916" s="38" t="s">
        <v>52</v>
      </c>
      <c r="D916" s="38"/>
      <c r="E916" s="391"/>
      <c r="F916" s="391"/>
      <c r="G916" s="391"/>
      <c r="H916" s="391"/>
      <c r="I916" s="391"/>
      <c r="J916" s="391"/>
      <c r="K916" s="391"/>
      <c r="L916" s="391"/>
      <c r="M916" s="391"/>
      <c r="N916" s="391"/>
      <c r="O916" s="391"/>
      <c r="P916" s="391"/>
      <c r="Q916" s="391"/>
      <c r="R916" s="391"/>
      <c r="S916" s="391"/>
      <c r="T916" s="391"/>
      <c r="AM916" s="250"/>
    </row>
    <row r="917" spans="1:39" s="220" customFormat="1" ht="48.75" customHeight="1" x14ac:dyDescent="0.4">
      <c r="A917" s="313" t="s">
        <v>167</v>
      </c>
      <c r="B917" s="33" t="s">
        <v>28</v>
      </c>
      <c r="C917" s="38"/>
      <c r="D917" s="38"/>
      <c r="E917" s="391"/>
      <c r="F917" s="391"/>
      <c r="G917" s="391"/>
      <c r="H917" s="391"/>
      <c r="I917" s="391"/>
      <c r="J917" s="391"/>
      <c r="K917" s="391"/>
      <c r="L917" s="391"/>
      <c r="M917" s="391"/>
      <c r="N917" s="391"/>
      <c r="O917" s="391"/>
      <c r="P917" s="391"/>
      <c r="Q917" s="391"/>
      <c r="R917" s="391"/>
      <c r="S917" s="391"/>
      <c r="T917" s="391"/>
      <c r="AM917" s="250"/>
    </row>
    <row r="918" spans="1:39" s="258" customFormat="1" ht="68.650000000000006" customHeight="1" x14ac:dyDescent="0.45">
      <c r="A918" s="313"/>
      <c r="B918" s="253" t="s">
        <v>28</v>
      </c>
      <c r="C918" s="38"/>
      <c r="D918" s="38"/>
      <c r="E918" s="391"/>
      <c r="F918" s="391"/>
      <c r="G918" s="391"/>
      <c r="H918" s="391"/>
      <c r="I918" s="391"/>
      <c r="J918" s="391"/>
      <c r="K918" s="391"/>
      <c r="L918" s="391"/>
      <c r="M918" s="391"/>
      <c r="N918" s="391"/>
      <c r="O918" s="391"/>
      <c r="P918" s="391"/>
      <c r="Q918" s="391"/>
      <c r="R918" s="391"/>
      <c r="S918" s="391"/>
      <c r="T918" s="391"/>
      <c r="AM918" s="259"/>
    </row>
    <row r="919" spans="1:39" s="258" customFormat="1" ht="48.75" customHeight="1" thickBot="1" x14ac:dyDescent="0.5">
      <c r="A919" s="278"/>
      <c r="B919" s="253"/>
      <c r="C919" s="253"/>
      <c r="D919" s="68"/>
      <c r="E919" s="264"/>
      <c r="F919" s="265"/>
      <c r="G919" s="266"/>
      <c r="H919" s="266"/>
      <c r="I919" s="266"/>
      <c r="J919" s="266"/>
      <c r="K919" s="266"/>
      <c r="L919" s="266"/>
      <c r="M919" s="266"/>
      <c r="N919" s="266"/>
      <c r="O919" s="266"/>
      <c r="P919" s="266"/>
      <c r="Q919" s="266"/>
      <c r="R919" s="266"/>
      <c r="S919" s="267">
        <f>SUM(S912:S918)</f>
        <v>500000</v>
      </c>
      <c r="T919" s="268">
        <f>SUM(T912:T918)</f>
        <v>30000</v>
      </c>
      <c r="AM919" s="259"/>
    </row>
    <row r="920" spans="1:39" x14ac:dyDescent="0.6">
      <c r="A920" s="356"/>
      <c r="C920"/>
      <c r="E920" s="357"/>
      <c r="F920" s="357"/>
      <c r="G920" s="116"/>
      <c r="H920" s="116"/>
      <c r="I920" s="116"/>
      <c r="J920" s="116"/>
      <c r="K920" s="116"/>
      <c r="L920" s="116"/>
      <c r="M920" s="116"/>
      <c r="N920" s="116"/>
      <c r="O920" s="116"/>
      <c r="P920" s="116"/>
      <c r="Q920" s="116"/>
      <c r="R920" s="116"/>
      <c r="S920" s="229"/>
      <c r="T920" s="229"/>
    </row>
    <row r="921" spans="1:39" s="258" customFormat="1" ht="48.75" customHeight="1" x14ac:dyDescent="0.45">
      <c r="A921" s="278"/>
      <c r="B921" s="253"/>
      <c r="C921" s="253"/>
      <c r="D921" s="68"/>
      <c r="E921" s="253"/>
      <c r="F921" s="253"/>
      <c r="G921" s="253"/>
      <c r="H921" s="253"/>
      <c r="I921" s="253"/>
      <c r="J921" s="253"/>
      <c r="K921" s="253"/>
      <c r="L921" s="253"/>
      <c r="M921" s="253"/>
      <c r="N921" s="253"/>
      <c r="O921" s="253"/>
      <c r="P921" s="253"/>
      <c r="Q921" s="253"/>
      <c r="R921" s="253"/>
      <c r="S921" s="269"/>
      <c r="T921" s="269"/>
      <c r="AM921" s="259"/>
    </row>
    <row r="922" spans="1:39" s="245" customFormat="1" ht="59.25" customHeight="1" x14ac:dyDescent="0.5">
      <c r="A922" s="55" t="s">
        <v>31</v>
      </c>
      <c r="B922" s="241" t="s">
        <v>7</v>
      </c>
      <c r="C922" s="242" t="s">
        <v>32</v>
      </c>
      <c r="D922" s="243" t="s">
        <v>33</v>
      </c>
      <c r="E922" s="242" t="s">
        <v>34</v>
      </c>
      <c r="F922" s="244" t="s">
        <v>11</v>
      </c>
      <c r="G922" s="244" t="s">
        <v>12</v>
      </c>
      <c r="H922" s="244" t="s">
        <v>13</v>
      </c>
      <c r="I922" s="244" t="s">
        <v>14</v>
      </c>
      <c r="J922" s="244" t="s">
        <v>15</v>
      </c>
      <c r="K922" s="244" t="s">
        <v>16</v>
      </c>
      <c r="L922" s="244" t="s">
        <v>17</v>
      </c>
      <c r="M922" s="244" t="s">
        <v>18</v>
      </c>
      <c r="N922" s="244" t="s">
        <v>19</v>
      </c>
      <c r="O922" s="244" t="s">
        <v>20</v>
      </c>
      <c r="P922" s="244" t="s">
        <v>21</v>
      </c>
      <c r="Q922" s="244" t="s">
        <v>22</v>
      </c>
      <c r="R922" s="244" t="s">
        <v>23</v>
      </c>
      <c r="S922" s="20" t="s">
        <v>24</v>
      </c>
      <c r="T922" s="20" t="s">
        <v>25</v>
      </c>
      <c r="AM922" s="246"/>
    </row>
    <row r="923" spans="1:39" ht="51.75" customHeight="1" x14ac:dyDescent="0.25">
      <c r="A923" s="307" t="s">
        <v>239</v>
      </c>
      <c r="B923" s="17"/>
      <c r="C923" s="279" t="s">
        <v>240</v>
      </c>
      <c r="D923" s="19"/>
      <c r="E923" s="26">
        <v>2025</v>
      </c>
      <c r="F923" s="27">
        <v>10000</v>
      </c>
      <c r="G923" s="22"/>
      <c r="H923" s="22"/>
      <c r="I923" s="22"/>
      <c r="J923" s="22"/>
      <c r="K923" s="22"/>
      <c r="L923" s="22"/>
      <c r="M923" s="22">
        <v>30000</v>
      </c>
      <c r="N923" s="22"/>
      <c r="O923" s="22"/>
      <c r="P923" s="22"/>
      <c r="Q923" s="22"/>
      <c r="R923" s="22"/>
      <c r="S923" s="64">
        <f>SUM(G923:R923)</f>
        <v>30000</v>
      </c>
      <c r="T923" s="29">
        <f>SUM(45000-(S923))</f>
        <v>15000</v>
      </c>
    </row>
    <row r="924" spans="1:39" ht="51.75" customHeight="1" x14ac:dyDescent="0.25">
      <c r="A924" s="307"/>
      <c r="B924" s="17"/>
      <c r="C924" s="279"/>
      <c r="D924" s="19"/>
      <c r="E924" s="30">
        <v>2024</v>
      </c>
      <c r="F924" s="27">
        <v>5000</v>
      </c>
      <c r="G924" s="22"/>
      <c r="H924" s="22"/>
      <c r="I924" s="60">
        <v>60000</v>
      </c>
      <c r="J924" s="22"/>
      <c r="K924" s="22"/>
      <c r="L924" s="22"/>
      <c r="M924" s="22"/>
      <c r="N924" s="22"/>
      <c r="O924" s="22"/>
      <c r="P924" s="22"/>
      <c r="Q924" s="22"/>
      <c r="R924" s="22"/>
      <c r="S924" s="37">
        <f>SUM(G924:R924)</f>
        <v>60000</v>
      </c>
      <c r="T924" s="22">
        <f>SUM(45000-(S924))</f>
        <v>-15000</v>
      </c>
    </row>
    <row r="925" spans="1:39" ht="51.75" customHeight="1" x14ac:dyDescent="0.25">
      <c r="A925" s="307"/>
      <c r="B925" s="17"/>
      <c r="C925" s="279"/>
      <c r="D925" s="19"/>
      <c r="E925" s="73" t="s">
        <v>241</v>
      </c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</row>
    <row r="926" spans="1:39" s="220" customFormat="1" ht="48" customHeight="1" x14ac:dyDescent="0.4">
      <c r="A926" s="307"/>
      <c r="B926" s="33" t="s">
        <v>28</v>
      </c>
      <c r="C926" s="38" t="s">
        <v>52</v>
      </c>
      <c r="D926" s="38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AM926" s="250"/>
    </row>
    <row r="927" spans="1:39" s="220" customFormat="1" ht="48.75" customHeight="1" x14ac:dyDescent="0.4">
      <c r="A927" s="313" t="s">
        <v>167</v>
      </c>
      <c r="B927" s="33" t="s">
        <v>28</v>
      </c>
      <c r="C927" s="38"/>
      <c r="D927" s="38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AM927" s="250"/>
    </row>
    <row r="928" spans="1:39" s="258" customFormat="1" ht="68.650000000000006" customHeight="1" x14ac:dyDescent="0.45">
      <c r="A928" s="313"/>
      <c r="B928" s="253" t="s">
        <v>28</v>
      </c>
      <c r="C928" s="38"/>
      <c r="D928" s="38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AM928" s="259"/>
    </row>
    <row r="929" spans="1:39" s="258" customFormat="1" ht="48.75" customHeight="1" thickBot="1" x14ac:dyDescent="0.5">
      <c r="A929" s="278"/>
      <c r="B929" s="253"/>
      <c r="C929" s="253"/>
      <c r="D929" s="68"/>
      <c r="E929" s="264"/>
      <c r="F929" s="265"/>
      <c r="G929" s="266"/>
      <c r="H929" s="266"/>
      <c r="I929" s="266"/>
      <c r="J929" s="266"/>
      <c r="K929" s="266"/>
      <c r="L929" s="266"/>
      <c r="M929" s="266"/>
      <c r="N929" s="266"/>
      <c r="O929" s="266"/>
      <c r="P929" s="266"/>
      <c r="Q929" s="266"/>
      <c r="R929" s="266"/>
      <c r="S929" s="267">
        <f>SUM(S923:S928)</f>
        <v>90000</v>
      </c>
      <c r="T929" s="268">
        <f>SUM(T923:T928)</f>
        <v>0</v>
      </c>
      <c r="AM929" s="259"/>
    </row>
    <row r="930" spans="1:39" x14ac:dyDescent="0.6">
      <c r="A930" s="356"/>
      <c r="C930"/>
      <c r="E930" s="357">
        <v>0</v>
      </c>
      <c r="F930" s="357"/>
      <c r="G930" s="116"/>
      <c r="H930" s="116"/>
      <c r="I930" s="116"/>
      <c r="J930" s="116"/>
      <c r="K930" s="116"/>
      <c r="L930" s="116"/>
      <c r="M930" s="116"/>
      <c r="N930" s="116"/>
      <c r="O930" s="116"/>
      <c r="P930" s="116"/>
      <c r="Q930" s="116"/>
      <c r="R930" s="116"/>
      <c r="S930" s="229"/>
      <c r="T930" s="229"/>
    </row>
    <row r="931" spans="1:39" s="245" customFormat="1" ht="59.25" customHeight="1" x14ac:dyDescent="0.5">
      <c r="A931" s="55" t="s">
        <v>31</v>
      </c>
      <c r="B931" s="241" t="s">
        <v>7</v>
      </c>
      <c r="C931" s="392" t="s">
        <v>32</v>
      </c>
      <c r="D931" s="243" t="s">
        <v>33</v>
      </c>
      <c r="E931" s="242" t="s">
        <v>34</v>
      </c>
      <c r="F931" s="244" t="s">
        <v>11</v>
      </c>
      <c r="G931" s="244" t="s">
        <v>12</v>
      </c>
      <c r="H931" s="244" t="s">
        <v>13</v>
      </c>
      <c r="I931" s="244" t="s">
        <v>14</v>
      </c>
      <c r="J931" s="244" t="s">
        <v>15</v>
      </c>
      <c r="K931" s="244" t="s">
        <v>16</v>
      </c>
      <c r="L931" s="244" t="s">
        <v>17</v>
      </c>
      <c r="M931" s="244" t="s">
        <v>18</v>
      </c>
      <c r="N931" s="244" t="s">
        <v>19</v>
      </c>
      <c r="O931" s="244" t="s">
        <v>20</v>
      </c>
      <c r="P931" s="244" t="s">
        <v>21</v>
      </c>
      <c r="Q931" s="244" t="s">
        <v>22</v>
      </c>
      <c r="R931" s="244" t="s">
        <v>23</v>
      </c>
      <c r="S931" s="20" t="s">
        <v>24</v>
      </c>
      <c r="T931" s="20" t="s">
        <v>25</v>
      </c>
      <c r="AM931" s="246"/>
    </row>
    <row r="932" spans="1:39" ht="51.75" customHeight="1" x14ac:dyDescent="0.25">
      <c r="A932" s="307">
        <v>25</v>
      </c>
      <c r="B932" s="17"/>
      <c r="C932" s="279" t="s">
        <v>242</v>
      </c>
      <c r="D932" s="84" t="s">
        <v>243</v>
      </c>
      <c r="E932" s="26">
        <v>2025</v>
      </c>
      <c r="F932" s="27">
        <v>10000</v>
      </c>
      <c r="G932" s="22"/>
      <c r="H932" s="22"/>
      <c r="I932" s="22"/>
      <c r="J932" s="22"/>
      <c r="K932" s="22"/>
      <c r="L932" s="22"/>
      <c r="M932" s="22">
        <v>35000</v>
      </c>
      <c r="N932" s="22"/>
      <c r="O932" s="22">
        <v>50000</v>
      </c>
      <c r="P932" s="22"/>
      <c r="Q932" s="22"/>
      <c r="R932" s="22"/>
      <c r="S932" s="64">
        <f>SUM(G932:R932)</f>
        <v>85000</v>
      </c>
      <c r="T932" s="29">
        <f>SUM(F932*IF(E932=_current_year,_current_month,12)-(S932))</f>
        <v>35000</v>
      </c>
    </row>
    <row r="933" spans="1:39" ht="51.75" customHeight="1" x14ac:dyDescent="0.25">
      <c r="A933" s="307"/>
      <c r="B933" s="17"/>
      <c r="C933" s="279"/>
      <c r="D933" s="84" t="s">
        <v>243</v>
      </c>
      <c r="E933" s="30">
        <v>2024</v>
      </c>
      <c r="F933" s="27">
        <v>5000</v>
      </c>
      <c r="G933" s="22"/>
      <c r="H933" s="22"/>
      <c r="I933" s="22"/>
      <c r="J933" s="22">
        <v>60000</v>
      </c>
      <c r="K933" s="22"/>
      <c r="L933" s="22"/>
      <c r="M933" s="22"/>
      <c r="N933" s="22"/>
      <c r="O933" s="22"/>
      <c r="P933" s="22"/>
      <c r="Q933" s="22"/>
      <c r="R933" s="22"/>
      <c r="S933" s="37">
        <f>SUM(G933:R933)</f>
        <v>60000</v>
      </c>
      <c r="T933" s="22">
        <f>SUM(F933*IF(E933=_current_year,_current_month,12)-(S933))</f>
        <v>0</v>
      </c>
    </row>
    <row r="934" spans="1:39" ht="51.75" customHeight="1" x14ac:dyDescent="0.25">
      <c r="A934" s="307"/>
      <c r="B934" s="17"/>
      <c r="C934" s="279"/>
      <c r="D934" s="84"/>
      <c r="E934" s="30">
        <v>2023</v>
      </c>
      <c r="F934" s="27">
        <v>5000</v>
      </c>
      <c r="G934" s="22"/>
      <c r="H934" s="22"/>
      <c r="I934" s="22"/>
      <c r="J934" s="22">
        <v>45000</v>
      </c>
      <c r="K934" s="22"/>
      <c r="L934" s="22"/>
      <c r="M934" s="22">
        <v>50000</v>
      </c>
      <c r="N934" s="22"/>
      <c r="O934" s="22"/>
      <c r="P934" s="22"/>
      <c r="Q934" s="22"/>
      <c r="R934" s="22"/>
      <c r="S934" s="37">
        <f>SUM(G934:R934)</f>
        <v>95000</v>
      </c>
      <c r="T934" s="22">
        <f>SUM(F934*IF(E934=_current_year,_current_month,12)-(S934))</f>
        <v>-35000</v>
      </c>
    </row>
    <row r="935" spans="1:39" s="220" customFormat="1" ht="48" customHeight="1" x14ac:dyDescent="0.4">
      <c r="A935" s="307"/>
      <c r="B935" s="33" t="s">
        <v>28</v>
      </c>
      <c r="C935" s="85" t="s">
        <v>244</v>
      </c>
      <c r="D935" s="35"/>
      <c r="E935" s="30">
        <v>2022</v>
      </c>
      <c r="F935" s="27">
        <v>5000</v>
      </c>
      <c r="G935" s="149"/>
      <c r="H935" s="150"/>
      <c r="I935" s="150"/>
      <c r="J935" s="150"/>
      <c r="K935" s="150"/>
      <c r="L935" s="150"/>
      <c r="M935" s="150"/>
      <c r="N935" s="150"/>
      <c r="O935" s="150"/>
      <c r="P935" s="150"/>
      <c r="Q935" s="151"/>
      <c r="R935" s="60"/>
      <c r="S935" s="37">
        <f>SUM(G935:R935)</f>
        <v>0</v>
      </c>
      <c r="T935" s="37">
        <f>SUM(H935:S935)</f>
        <v>0</v>
      </c>
      <c r="AM935" s="250"/>
    </row>
    <row r="936" spans="1:39" s="220" customFormat="1" ht="48.75" customHeight="1" x14ac:dyDescent="0.4">
      <c r="A936" s="313" t="s">
        <v>167</v>
      </c>
      <c r="B936" s="33" t="s">
        <v>28</v>
      </c>
      <c r="C936" s="38" t="s">
        <v>52</v>
      </c>
      <c r="D936" s="38"/>
      <c r="E936" s="393" t="s">
        <v>245</v>
      </c>
      <c r="F936"/>
      <c r="G936"/>
      <c r="H936" s="394"/>
      <c r="I936" s="91"/>
      <c r="J936" s="91"/>
      <c r="K936" s="395">
        <v>50000</v>
      </c>
      <c r="L936" s="395"/>
      <c r="M936" s="91"/>
      <c r="N936" s="91"/>
      <c r="O936" s="91"/>
      <c r="P936" s="91"/>
      <c r="Q936" s="91"/>
      <c r="R936" s="91"/>
      <c r="S936" s="91"/>
      <c r="T936" s="137"/>
      <c r="AM936" s="250"/>
    </row>
    <row r="937" spans="1:39" s="258" customFormat="1" ht="48.75" customHeight="1" x14ac:dyDescent="0.45">
      <c r="A937" s="313"/>
      <c r="B937" s="253" t="s">
        <v>28</v>
      </c>
      <c r="C937" s="38"/>
      <c r="D937" s="38"/>
      <c r="E937" s="393" t="s">
        <v>246</v>
      </c>
      <c r="F937" s="114"/>
      <c r="G937" s="114"/>
      <c r="H937" s="114"/>
      <c r="I937" s="114"/>
      <c r="J937" s="114"/>
      <c r="K937" s="396">
        <v>150000</v>
      </c>
      <c r="L937" s="396"/>
      <c r="M937" s="91"/>
      <c r="N937" s="114"/>
      <c r="O937" s="114"/>
      <c r="P937" s="114"/>
      <c r="Q937" s="114"/>
      <c r="R937" s="114"/>
      <c r="S937" s="114"/>
      <c r="T937" s="115"/>
      <c r="AM937" s="259"/>
    </row>
    <row r="938" spans="1:39" s="258" customFormat="1" ht="48.75" customHeight="1" thickBot="1" x14ac:dyDescent="0.5">
      <c r="A938" s="278"/>
      <c r="B938" s="253"/>
      <c r="C938" s="253"/>
      <c r="D938" s="68"/>
      <c r="E938" s="264"/>
      <c r="F938" s="265"/>
      <c r="G938" s="266"/>
      <c r="H938" s="266"/>
      <c r="I938" s="266"/>
      <c r="J938" s="266"/>
      <c r="K938" s="266"/>
      <c r="L938" s="266"/>
      <c r="M938" s="266"/>
      <c r="N938" s="266"/>
      <c r="O938" s="266"/>
      <c r="P938" s="266"/>
      <c r="Q938" s="266"/>
      <c r="R938" s="266"/>
      <c r="S938" s="267">
        <f>SUM(S932:S937)</f>
        <v>240000</v>
      </c>
      <c r="T938" s="268">
        <f>SUM(T932:T937)</f>
        <v>0</v>
      </c>
      <c r="AM938" s="259"/>
    </row>
    <row r="939" spans="1:39" x14ac:dyDescent="0.6">
      <c r="A939" s="356"/>
      <c r="C939"/>
      <c r="E939" s="357"/>
      <c r="F939" s="357"/>
      <c r="G939" s="116"/>
      <c r="H939" s="116"/>
      <c r="I939" s="116"/>
      <c r="J939" s="116"/>
      <c r="K939" s="116"/>
      <c r="L939" s="116"/>
      <c r="M939" s="116"/>
      <c r="N939" s="116"/>
      <c r="O939" s="116"/>
      <c r="P939" s="116"/>
      <c r="Q939" s="116"/>
      <c r="R939" s="116"/>
      <c r="S939" s="229"/>
      <c r="T939" s="229"/>
    </row>
    <row r="940" spans="1:39" s="245" customFormat="1" ht="67.5" customHeight="1" x14ac:dyDescent="0.5">
      <c r="A940" s="55" t="s">
        <v>31</v>
      </c>
      <c r="B940" s="241" t="s">
        <v>7</v>
      </c>
      <c r="C940" s="392" t="s">
        <v>32</v>
      </c>
      <c r="D940" s="243" t="s">
        <v>33</v>
      </c>
      <c r="E940" s="242" t="s">
        <v>34</v>
      </c>
      <c r="F940" s="244" t="s">
        <v>11</v>
      </c>
      <c r="G940" s="244" t="s">
        <v>12</v>
      </c>
      <c r="H940" s="244" t="s">
        <v>13</v>
      </c>
      <c r="I940" s="244" t="s">
        <v>14</v>
      </c>
      <c r="J940" s="244" t="s">
        <v>15</v>
      </c>
      <c r="K940" s="244" t="s">
        <v>16</v>
      </c>
      <c r="L940" s="244" t="s">
        <v>17</v>
      </c>
      <c r="M940" s="244" t="s">
        <v>18</v>
      </c>
      <c r="N940" s="244" t="s">
        <v>19</v>
      </c>
      <c r="O940" s="244" t="s">
        <v>20</v>
      </c>
      <c r="P940" s="244" t="s">
        <v>21</v>
      </c>
      <c r="Q940" s="244" t="s">
        <v>22</v>
      </c>
      <c r="R940" s="244" t="s">
        <v>23</v>
      </c>
      <c r="S940" s="20" t="s">
        <v>24</v>
      </c>
      <c r="T940" s="20" t="s">
        <v>25</v>
      </c>
      <c r="AM940" s="246"/>
    </row>
    <row r="941" spans="1:39" ht="51.75" customHeight="1" x14ac:dyDescent="0.25">
      <c r="A941" s="310" t="s">
        <v>247</v>
      </c>
      <c r="B941" s="17"/>
      <c r="C941" s="279" t="s">
        <v>248</v>
      </c>
      <c r="D941" s="19"/>
      <c r="E941" s="26">
        <v>2025</v>
      </c>
      <c r="F941" s="251">
        <v>5000</v>
      </c>
      <c r="G941" s="22">
        <v>60000</v>
      </c>
      <c r="H941" s="22"/>
      <c r="I941" s="22"/>
      <c r="J941" s="22"/>
      <c r="K941" s="22"/>
      <c r="L941" s="22"/>
      <c r="M941" s="22"/>
      <c r="N941" s="22">
        <v>60000</v>
      </c>
      <c r="O941" s="22"/>
      <c r="P941" s="22"/>
      <c r="Q941" s="22"/>
      <c r="R941" s="22"/>
      <c r="S941" s="64">
        <f t="shared" ref="S941:S948" si="42">SUM(G941:R941)</f>
        <v>120000</v>
      </c>
      <c r="T941" s="29">
        <f>SUM(F941*IF(E941=_current_year,_current_month,12)-(S941))</f>
        <v>-60000</v>
      </c>
    </row>
    <row r="942" spans="1:39" ht="51.75" customHeight="1" x14ac:dyDescent="0.25">
      <c r="A942" s="310"/>
      <c r="B942" s="17"/>
      <c r="C942" s="279"/>
      <c r="D942" s="19"/>
      <c r="E942" s="30">
        <v>2024</v>
      </c>
      <c r="F942" s="251">
        <v>3000</v>
      </c>
      <c r="G942" s="22"/>
      <c r="H942" s="22"/>
      <c r="I942" s="22"/>
      <c r="J942" s="22">
        <v>57000</v>
      </c>
      <c r="K942" s="22"/>
      <c r="L942" s="22"/>
      <c r="M942" s="22"/>
      <c r="N942" s="22"/>
      <c r="O942" s="22"/>
      <c r="P942" s="22"/>
      <c r="Q942" s="22"/>
      <c r="R942" s="22"/>
      <c r="S942" s="37">
        <f t="shared" si="42"/>
        <v>57000</v>
      </c>
      <c r="T942" s="22">
        <f>SUM(F942*IF(E942=_current_year,_current_month,12)-(S942))</f>
        <v>-21000</v>
      </c>
    </row>
    <row r="943" spans="1:39" ht="51.75" customHeight="1" x14ac:dyDescent="0.25">
      <c r="A943" s="310"/>
      <c r="B943" s="17"/>
      <c r="C943" s="279"/>
      <c r="D943" s="19"/>
      <c r="E943" s="30">
        <v>2023</v>
      </c>
      <c r="F943" s="251">
        <v>3000</v>
      </c>
      <c r="G943" s="22"/>
      <c r="H943" s="22">
        <v>12000</v>
      </c>
      <c r="I943" s="22"/>
      <c r="J943" s="22">
        <v>9000</v>
      </c>
      <c r="K943" s="22"/>
      <c r="L943" s="22"/>
      <c r="M943" s="22"/>
      <c r="N943" s="22">
        <v>24000</v>
      </c>
      <c r="O943" s="22"/>
      <c r="P943" s="22"/>
      <c r="Q943" s="22"/>
      <c r="R943" s="22"/>
      <c r="S943" s="37">
        <f t="shared" si="42"/>
        <v>45000</v>
      </c>
      <c r="T943" s="22">
        <f>SUM(F943*IF(E943=_current_year,_current_month,12)-(S943))</f>
        <v>-9000</v>
      </c>
    </row>
    <row r="944" spans="1:39" s="220" customFormat="1" ht="48" customHeight="1" x14ac:dyDescent="0.4">
      <c r="A944" s="310"/>
      <c r="B944" s="33" t="s">
        <v>28</v>
      </c>
      <c r="C944" s="85" t="s">
        <v>249</v>
      </c>
      <c r="D944" s="35"/>
      <c r="E944" s="30">
        <v>2022</v>
      </c>
      <c r="F944" s="251">
        <v>3000</v>
      </c>
      <c r="G944" s="36"/>
      <c r="H944" s="36">
        <v>36000</v>
      </c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7">
        <f t="shared" si="42"/>
        <v>36000</v>
      </c>
      <c r="T944" s="37">
        <f>SUM(36000-S944)</f>
        <v>0</v>
      </c>
      <c r="AM944" s="250"/>
    </row>
    <row r="945" spans="1:39" s="220" customFormat="1" ht="48.75" customHeight="1" x14ac:dyDescent="0.4">
      <c r="A945" s="310"/>
      <c r="B945" s="33" t="s">
        <v>28</v>
      </c>
      <c r="C945" s="38" t="s">
        <v>52</v>
      </c>
      <c r="D945" s="38"/>
      <c r="E945" s="30">
        <v>2021</v>
      </c>
      <c r="F945" s="251">
        <v>3000</v>
      </c>
      <c r="G945" s="36"/>
      <c r="H945" s="36"/>
      <c r="I945" s="36"/>
      <c r="J945" s="36"/>
      <c r="K945" s="36">
        <v>36000</v>
      </c>
      <c r="L945" s="36"/>
      <c r="M945" s="36"/>
      <c r="N945" s="36"/>
      <c r="O945" s="36"/>
      <c r="P945" s="36"/>
      <c r="Q945" s="36"/>
      <c r="R945" s="36"/>
      <c r="S945" s="252">
        <f t="shared" si="42"/>
        <v>36000</v>
      </c>
      <c r="T945" s="252">
        <f>SUM(36000-S945)</f>
        <v>0</v>
      </c>
      <c r="AM945" s="250"/>
    </row>
    <row r="946" spans="1:39" s="258" customFormat="1" ht="48.75" customHeight="1" x14ac:dyDescent="0.45">
      <c r="A946" s="313" t="s">
        <v>167</v>
      </c>
      <c r="B946" s="253" t="s">
        <v>93</v>
      </c>
      <c r="C946" s="38"/>
      <c r="D946" s="38"/>
      <c r="E946" s="254">
        <v>2020</v>
      </c>
      <c r="F946" s="251">
        <v>3000</v>
      </c>
      <c r="G946" s="302"/>
      <c r="H946" s="302"/>
      <c r="I946" s="302"/>
      <c r="J946" s="302"/>
      <c r="K946" s="302">
        <v>9000</v>
      </c>
      <c r="L946" s="302"/>
      <c r="M946" s="302"/>
      <c r="N946" s="302">
        <v>18000</v>
      </c>
      <c r="O946" s="302"/>
      <c r="P946" s="302"/>
      <c r="Q946" s="302"/>
      <c r="R946" s="302"/>
      <c r="S946" s="252">
        <f t="shared" si="42"/>
        <v>27000</v>
      </c>
      <c r="T946" s="257">
        <f>SUM(36000-S946)</f>
        <v>9000</v>
      </c>
      <c r="AM946" s="259"/>
    </row>
    <row r="947" spans="1:39" s="258" customFormat="1" ht="48.75" customHeight="1" x14ac:dyDescent="0.45">
      <c r="A947" s="313"/>
      <c r="B947" s="253"/>
      <c r="C947" s="38"/>
      <c r="D947" s="38"/>
      <c r="E947" s="254">
        <v>2019</v>
      </c>
      <c r="F947" s="251">
        <v>3000</v>
      </c>
      <c r="G947" s="302"/>
      <c r="H947" s="302"/>
      <c r="I947" s="302">
        <v>3000</v>
      </c>
      <c r="J947" s="302"/>
      <c r="K947" s="302">
        <v>3000</v>
      </c>
      <c r="L947" s="302"/>
      <c r="M947" s="302">
        <v>3000</v>
      </c>
      <c r="N947" s="302"/>
      <c r="O947" s="302"/>
      <c r="P947" s="302">
        <v>3000</v>
      </c>
      <c r="Q947" s="302"/>
      <c r="R947" s="302">
        <v>3000</v>
      </c>
      <c r="S947" s="252">
        <f t="shared" si="42"/>
        <v>15000</v>
      </c>
      <c r="T947" s="257">
        <f>SUM(36000-S947)</f>
        <v>21000</v>
      </c>
      <c r="AM947" s="259"/>
    </row>
    <row r="948" spans="1:39" s="258" customFormat="1" ht="48.75" customHeight="1" x14ac:dyDescent="0.45">
      <c r="A948" s="311"/>
      <c r="B948" s="253"/>
      <c r="C948" s="38"/>
      <c r="D948" s="38"/>
      <c r="E948" s="254">
        <v>2018</v>
      </c>
      <c r="F948" s="251">
        <v>3000</v>
      </c>
      <c r="G948" s="302"/>
      <c r="H948" s="302"/>
      <c r="I948" s="302"/>
      <c r="J948" s="302"/>
      <c r="K948" s="302"/>
      <c r="L948" s="302"/>
      <c r="M948" s="302"/>
      <c r="N948" s="302"/>
      <c r="O948" s="302"/>
      <c r="P948" s="345">
        <v>6000</v>
      </c>
      <c r="Q948" s="302"/>
      <c r="R948" s="256"/>
      <c r="S948" s="252">
        <f t="shared" si="42"/>
        <v>6000</v>
      </c>
      <c r="T948" s="257">
        <f>SUM(6000-S948)</f>
        <v>0</v>
      </c>
      <c r="AM948" s="259"/>
    </row>
    <row r="949" spans="1:39" s="258" customFormat="1" ht="48.75" customHeight="1" thickBot="1" x14ac:dyDescent="0.5">
      <c r="A949" s="278"/>
      <c r="B949" s="253"/>
      <c r="C949" s="253"/>
      <c r="D949" s="68"/>
      <c r="E949" s="264"/>
      <c r="F949" s="265"/>
      <c r="G949" s="266"/>
      <c r="H949" s="266"/>
      <c r="I949" s="266"/>
      <c r="J949" s="266"/>
      <c r="K949" s="266"/>
      <c r="L949" s="266"/>
      <c r="M949" s="266"/>
      <c r="N949" s="266"/>
      <c r="O949" s="266"/>
      <c r="P949" s="266"/>
      <c r="Q949" s="266"/>
      <c r="R949" s="266"/>
      <c r="S949" s="267">
        <f>SUM(S941:S948)</f>
        <v>342000</v>
      </c>
      <c r="T949" s="268">
        <f>SUM(T941:T948)</f>
        <v>-60000</v>
      </c>
      <c r="AM949" s="259"/>
    </row>
    <row r="950" spans="1:39" s="258" customFormat="1" ht="30" customHeight="1" x14ac:dyDescent="0.45">
      <c r="A950" s="278"/>
      <c r="B950" s="253"/>
      <c r="C950" s="253"/>
      <c r="D950" s="68"/>
      <c r="E950" s="253"/>
      <c r="F950" s="253"/>
      <c r="G950" s="253"/>
      <c r="H950" s="253"/>
      <c r="I950" s="253"/>
      <c r="J950" s="253"/>
      <c r="K950" s="253"/>
      <c r="L950" s="253"/>
      <c r="M950" s="253"/>
      <c r="N950" s="253"/>
      <c r="O950" s="253"/>
      <c r="P950" s="253"/>
      <c r="Q950" s="253"/>
      <c r="R950" s="253"/>
      <c r="S950" s="269"/>
      <c r="T950" s="269"/>
      <c r="AM950" s="259"/>
    </row>
    <row r="951" spans="1:39" s="245" customFormat="1" ht="63" customHeight="1" x14ac:dyDescent="0.5">
      <c r="A951" s="55" t="s">
        <v>31</v>
      </c>
      <c r="B951" s="241" t="s">
        <v>7</v>
      </c>
      <c r="C951" s="242" t="s">
        <v>32</v>
      </c>
      <c r="D951" s="243" t="s">
        <v>33</v>
      </c>
      <c r="E951" s="242" t="s">
        <v>34</v>
      </c>
      <c r="F951" s="244" t="s">
        <v>11</v>
      </c>
      <c r="G951" s="244" t="s">
        <v>12</v>
      </c>
      <c r="H951" s="244" t="s">
        <v>13</v>
      </c>
      <c r="I951" s="244" t="s">
        <v>14</v>
      </c>
      <c r="J951" s="244" t="s">
        <v>15</v>
      </c>
      <c r="K951" s="244" t="s">
        <v>16</v>
      </c>
      <c r="L951" s="244" t="s">
        <v>17</v>
      </c>
      <c r="M951" s="244" t="s">
        <v>18</v>
      </c>
      <c r="N951" s="244" t="s">
        <v>19</v>
      </c>
      <c r="O951" s="244" t="s">
        <v>20</v>
      </c>
      <c r="P951" s="244" t="s">
        <v>21</v>
      </c>
      <c r="Q951" s="244" t="s">
        <v>22</v>
      </c>
      <c r="R951" s="244" t="s">
        <v>23</v>
      </c>
      <c r="S951" s="20" t="s">
        <v>24</v>
      </c>
      <c r="T951" s="20" t="s">
        <v>25</v>
      </c>
      <c r="AM951" s="246"/>
    </row>
    <row r="952" spans="1:39" ht="51.75" customHeight="1" x14ac:dyDescent="0.25">
      <c r="A952" s="310" t="s">
        <v>250</v>
      </c>
      <c r="B952" s="17"/>
      <c r="C952" s="247" t="s">
        <v>251</v>
      </c>
      <c r="D952" s="19"/>
      <c r="E952" s="26">
        <v>2025</v>
      </c>
      <c r="F952" s="251">
        <v>5000</v>
      </c>
      <c r="G952" s="22">
        <v>60000</v>
      </c>
      <c r="H952" s="22"/>
      <c r="I952" s="22"/>
      <c r="J952" s="22"/>
      <c r="K952" s="22"/>
      <c r="L952" s="22"/>
      <c r="M952" s="22"/>
      <c r="N952" s="22">
        <v>60000</v>
      </c>
      <c r="O952" s="22"/>
      <c r="P952" s="22"/>
      <c r="Q952" s="22"/>
      <c r="R952" s="22"/>
      <c r="S952" s="64">
        <f>SUM(G952:R952)</f>
        <v>120000</v>
      </c>
      <c r="T952" s="29">
        <f>SUM(F952*IF(E952=_current_year,_current_month,12)-(S952))</f>
        <v>-60000</v>
      </c>
    </row>
    <row r="953" spans="1:39" ht="51.75" customHeight="1" x14ac:dyDescent="0.25">
      <c r="A953" s="310"/>
      <c r="B953" s="17"/>
      <c r="C953" s="247"/>
      <c r="D953" s="19"/>
      <c r="E953" s="30">
        <v>2024</v>
      </c>
      <c r="F953" s="251">
        <v>3000</v>
      </c>
      <c r="G953" s="22"/>
      <c r="H953" s="22"/>
      <c r="I953" s="22"/>
      <c r="J953" s="22">
        <v>36000</v>
      </c>
      <c r="K953" s="22"/>
      <c r="L953" s="22"/>
      <c r="M953" s="22"/>
      <c r="N953" s="22"/>
      <c r="O953" s="22"/>
      <c r="P953" s="22"/>
      <c r="Q953" s="22"/>
      <c r="R953" s="22"/>
      <c r="S953" s="37">
        <f>SUM(G953:R953)</f>
        <v>36000</v>
      </c>
      <c r="T953" s="22">
        <f>SUM(F953*IF(E953=_current_year,_current_month,12)-(S953))</f>
        <v>0</v>
      </c>
    </row>
    <row r="954" spans="1:39" ht="51.75" customHeight="1" x14ac:dyDescent="0.25">
      <c r="A954" s="310"/>
      <c r="B954" s="17"/>
      <c r="C954" s="247"/>
      <c r="D954" s="19"/>
      <c r="E954" s="30">
        <v>2023</v>
      </c>
      <c r="F954" s="251">
        <v>3000</v>
      </c>
      <c r="G954" s="22"/>
      <c r="H954" s="22">
        <v>12000</v>
      </c>
      <c r="I954" s="22"/>
      <c r="J954" s="22"/>
      <c r="K954" s="22"/>
      <c r="L954" s="22"/>
      <c r="M954" s="22"/>
      <c r="N954" s="22">
        <v>24000</v>
      </c>
      <c r="O954" s="22"/>
      <c r="P954" s="22"/>
      <c r="Q954" s="22"/>
      <c r="R954" s="22"/>
      <c r="S954" s="37">
        <f>SUM(G954:R954)</f>
        <v>36000</v>
      </c>
      <c r="T954" s="22">
        <f>SUM(F954*IF(E954=_current_year,_current_month,12)-(S954))</f>
        <v>0</v>
      </c>
    </row>
    <row r="955" spans="1:39" s="220" customFormat="1" ht="48" customHeight="1" x14ac:dyDescent="0.4">
      <c r="A955" s="310"/>
      <c r="B955" s="33" t="s">
        <v>28</v>
      </c>
      <c r="C955" s="85" t="s">
        <v>252</v>
      </c>
      <c r="D955" s="35"/>
      <c r="E955" s="30">
        <v>2022</v>
      </c>
      <c r="F955" s="251">
        <v>3000</v>
      </c>
      <c r="G955" s="36"/>
      <c r="H955" s="36">
        <v>36000</v>
      </c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7">
        <f>SUM(G955:R955)</f>
        <v>36000</v>
      </c>
      <c r="T955" s="37">
        <f>SUM(36000-S955)</f>
        <v>0</v>
      </c>
      <c r="AM955" s="250"/>
    </row>
    <row r="956" spans="1:39" s="220" customFormat="1" ht="48.75" customHeight="1" x14ac:dyDescent="0.4">
      <c r="A956" s="310"/>
      <c r="B956" s="33" t="s">
        <v>28</v>
      </c>
      <c r="C956" s="38" t="s">
        <v>52</v>
      </c>
      <c r="D956" s="38"/>
      <c r="E956" s="30">
        <v>2021</v>
      </c>
      <c r="F956" s="251">
        <v>3000</v>
      </c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252">
        <f>SUM(G956:R956)</f>
        <v>0</v>
      </c>
      <c r="T956" s="252">
        <f>SUM(36000-S956)</f>
        <v>36000</v>
      </c>
      <c r="AM956" s="250"/>
    </row>
    <row r="957" spans="1:39" s="258" customFormat="1" ht="48.75" customHeight="1" x14ac:dyDescent="0.45">
      <c r="A957" s="313" t="s">
        <v>167</v>
      </c>
      <c r="B957" s="253" t="s">
        <v>60</v>
      </c>
      <c r="C957" s="38"/>
      <c r="D957" s="38"/>
      <c r="E957" s="254">
        <v>2020</v>
      </c>
      <c r="F957" s="251">
        <v>3000</v>
      </c>
      <c r="G957" s="302"/>
      <c r="H957" s="302"/>
      <c r="I957" s="302"/>
      <c r="J957" s="302"/>
      <c r="K957" s="302"/>
      <c r="L957" s="302"/>
      <c r="M957" s="345"/>
      <c r="N957" s="302"/>
      <c r="O957" s="302"/>
      <c r="P957" s="302"/>
      <c r="Q957" s="302"/>
      <c r="R957" s="302"/>
      <c r="S957" s="252">
        <f>SUM(N957:R957)</f>
        <v>0</v>
      </c>
      <c r="T957" s="257">
        <f>SUM(15000-S957)</f>
        <v>15000</v>
      </c>
      <c r="AM957" s="259"/>
    </row>
    <row r="958" spans="1:39" s="258" customFormat="1" ht="48.75" customHeight="1" x14ac:dyDescent="0.45">
      <c r="A958" s="313"/>
      <c r="B958" s="253"/>
      <c r="C958" s="38"/>
      <c r="D958" s="38"/>
      <c r="E958" s="397"/>
      <c r="F958" s="398"/>
      <c r="G958" s="398"/>
      <c r="H958" s="398"/>
      <c r="I958" s="398"/>
      <c r="J958" s="398"/>
      <c r="K958" s="398"/>
      <c r="L958" s="398"/>
      <c r="M958" s="398"/>
      <c r="N958" s="398"/>
      <c r="O958" s="398"/>
      <c r="P958" s="398"/>
      <c r="Q958" s="398"/>
      <c r="R958" s="398"/>
      <c r="S958" s="399"/>
      <c r="T958" s="399"/>
      <c r="AM958" s="259"/>
    </row>
    <row r="959" spans="1:39" s="258" customFormat="1" ht="48.75" customHeight="1" thickBot="1" x14ac:dyDescent="0.5">
      <c r="A959" s="278"/>
      <c r="B959" s="253"/>
      <c r="C959" s="253"/>
      <c r="D959" s="68"/>
      <c r="E959" s="264"/>
      <c r="F959" s="265"/>
      <c r="G959" s="266"/>
      <c r="H959" s="266"/>
      <c r="I959" s="266"/>
      <c r="J959" s="266"/>
      <c r="K959" s="266"/>
      <c r="L959" s="266"/>
      <c r="M959" s="266"/>
      <c r="N959" s="266"/>
      <c r="O959" s="266"/>
      <c r="P959" s="266"/>
      <c r="Q959" s="266"/>
      <c r="R959" s="266"/>
      <c r="S959" s="267">
        <f>SUM(S952:S958)</f>
        <v>228000</v>
      </c>
      <c r="T959" s="268">
        <f>SUM(T952:T958)</f>
        <v>-9000</v>
      </c>
      <c r="AM959" s="259"/>
    </row>
    <row r="960" spans="1:39" s="258" customFormat="1" ht="21.75" customHeight="1" x14ac:dyDescent="0.45">
      <c r="A960" s="278"/>
      <c r="B960" s="253"/>
      <c r="C960" s="253"/>
      <c r="D960" s="68"/>
      <c r="E960" s="253"/>
      <c r="F960" s="253"/>
      <c r="G960" s="253"/>
      <c r="H960" s="253"/>
      <c r="I960" s="253"/>
      <c r="J960" s="253"/>
      <c r="K960" s="253"/>
      <c r="L960" s="253"/>
      <c r="M960" s="253"/>
      <c r="N960" s="253"/>
      <c r="O960" s="253"/>
      <c r="P960" s="253"/>
      <c r="Q960" s="253"/>
      <c r="R960" s="253"/>
      <c r="S960" s="269"/>
      <c r="T960" s="269"/>
      <c r="AM960" s="259"/>
    </row>
    <row r="961" spans="1:39" s="245" customFormat="1" ht="59.25" customHeight="1" x14ac:dyDescent="0.5">
      <c r="A961" s="55" t="s">
        <v>31</v>
      </c>
      <c r="B961" s="241" t="s">
        <v>7</v>
      </c>
      <c r="C961" s="242" t="s">
        <v>32</v>
      </c>
      <c r="D961" s="243" t="s">
        <v>33</v>
      </c>
      <c r="E961" s="242" t="s">
        <v>34</v>
      </c>
      <c r="F961" s="244" t="s">
        <v>11</v>
      </c>
      <c r="G961" s="244" t="s">
        <v>12</v>
      </c>
      <c r="H961" s="244" t="s">
        <v>13</v>
      </c>
      <c r="I961" s="244" t="s">
        <v>14</v>
      </c>
      <c r="J961" s="244" t="s">
        <v>15</v>
      </c>
      <c r="K961" s="244" t="s">
        <v>16</v>
      </c>
      <c r="L961" s="244" t="s">
        <v>17</v>
      </c>
      <c r="M961" s="244" t="s">
        <v>18</v>
      </c>
      <c r="N961" s="244" t="s">
        <v>19</v>
      </c>
      <c r="O961" s="244" t="s">
        <v>20</v>
      </c>
      <c r="P961" s="244" t="s">
        <v>21</v>
      </c>
      <c r="Q961" s="244" t="s">
        <v>22</v>
      </c>
      <c r="R961" s="244" t="s">
        <v>23</v>
      </c>
      <c r="S961" s="20" t="s">
        <v>24</v>
      </c>
      <c r="T961" s="20" t="s">
        <v>25</v>
      </c>
      <c r="AM961" s="246"/>
    </row>
    <row r="962" spans="1:39" ht="51.75" customHeight="1" x14ac:dyDescent="0.6">
      <c r="A962" s="310" t="s">
        <v>253</v>
      </c>
      <c r="B962" s="17"/>
      <c r="C962" s="279" t="s">
        <v>254</v>
      </c>
      <c r="D962" s="19" t="str">
        <f>C962</f>
        <v>MRS IKOLI</v>
      </c>
      <c r="E962" s="26">
        <v>2025</v>
      </c>
      <c r="F962" s="251">
        <v>5000</v>
      </c>
      <c r="G962" s="22"/>
      <c r="H962" s="22"/>
      <c r="I962" s="22"/>
      <c r="J962" s="22"/>
      <c r="K962" s="22"/>
      <c r="L962" s="22"/>
      <c r="M962" s="22"/>
      <c r="N962" s="22"/>
      <c r="O962" s="53">
        <v>9000</v>
      </c>
      <c r="Q962" s="22"/>
      <c r="R962" s="22"/>
      <c r="S962" s="64">
        <f>SUM(G962:R962)</f>
        <v>9000</v>
      </c>
      <c r="T962" s="29">
        <f>SUM(F962*IF(E962=_current_year,_current_month-9,12)-(S962))</f>
        <v>51000</v>
      </c>
    </row>
    <row r="963" spans="1:39" ht="51.75" customHeight="1" x14ac:dyDescent="0.25">
      <c r="A963" s="310"/>
      <c r="B963" s="17"/>
      <c r="C963" s="279"/>
      <c r="D963" s="19"/>
      <c r="E963" s="30"/>
      <c r="F963" s="251"/>
      <c r="G963" s="289" t="s">
        <v>255</v>
      </c>
      <c r="H963" s="290"/>
      <c r="I963" s="290"/>
      <c r="J963" s="290"/>
      <c r="K963" s="290"/>
      <c r="L963" s="290"/>
      <c r="M963" s="290"/>
      <c r="N963" s="290"/>
      <c r="O963" s="290"/>
      <c r="P963" s="290"/>
      <c r="Q963" s="290"/>
      <c r="R963" s="291"/>
      <c r="S963" s="37">
        <f>SUM(G963:R963)</f>
        <v>0</v>
      </c>
      <c r="T963" s="22">
        <v>9000</v>
      </c>
    </row>
    <row r="964" spans="1:39" ht="51.75" customHeight="1" x14ac:dyDescent="0.25">
      <c r="A964" s="310"/>
      <c r="B964" s="17"/>
      <c r="C964" s="279"/>
      <c r="D964" s="19"/>
      <c r="E964" s="30"/>
      <c r="F964" s="251"/>
      <c r="G964" s="400"/>
      <c r="H964" s="401"/>
      <c r="I964" s="401"/>
      <c r="J964" s="401"/>
      <c r="K964" s="401"/>
      <c r="L964" s="401"/>
      <c r="M964" s="401"/>
      <c r="N964" s="401"/>
      <c r="O964" s="401"/>
      <c r="P964" s="401"/>
      <c r="Q964" s="401"/>
      <c r="R964" s="401"/>
      <c r="S964" s="401"/>
      <c r="T964" s="402"/>
    </row>
    <row r="965" spans="1:39" s="220" customFormat="1" ht="48" customHeight="1" x14ac:dyDescent="0.4">
      <c r="A965" s="310"/>
      <c r="B965" s="33" t="s">
        <v>28</v>
      </c>
      <c r="C965" s="85" t="s">
        <v>256</v>
      </c>
      <c r="D965" s="35"/>
      <c r="E965" s="30"/>
      <c r="F965" s="251"/>
      <c r="G965" s="403"/>
      <c r="H965" s="404"/>
      <c r="I965" s="404"/>
      <c r="J965" s="404"/>
      <c r="K965" s="404"/>
      <c r="L965" s="404"/>
      <c r="M965" s="404"/>
      <c r="N965" s="404"/>
      <c r="O965" s="404"/>
      <c r="P965" s="404"/>
      <c r="Q965" s="404"/>
      <c r="R965" s="404"/>
      <c r="S965" s="404"/>
      <c r="T965" s="405"/>
      <c r="AM965" s="250"/>
    </row>
    <row r="966" spans="1:39" s="220" customFormat="1" ht="48.75" customHeight="1" x14ac:dyDescent="0.4">
      <c r="A966" s="310"/>
      <c r="B966" s="33" t="s">
        <v>28</v>
      </c>
      <c r="C966" s="38" t="s">
        <v>52</v>
      </c>
      <c r="D966" s="38"/>
      <c r="E966" s="30"/>
      <c r="F966" s="251"/>
      <c r="G966" s="403"/>
      <c r="H966" s="404"/>
      <c r="I966" s="404"/>
      <c r="J966" s="404"/>
      <c r="K966" s="404"/>
      <c r="L966" s="404"/>
      <c r="M966" s="404"/>
      <c r="N966" s="404"/>
      <c r="O966" s="404"/>
      <c r="P966" s="404"/>
      <c r="Q966" s="404"/>
      <c r="R966" s="404"/>
      <c r="S966" s="404"/>
      <c r="T966" s="405"/>
      <c r="AM966" s="250"/>
    </row>
    <row r="967" spans="1:39" s="258" customFormat="1" ht="48.75" customHeight="1" x14ac:dyDescent="0.45">
      <c r="A967" s="313" t="s">
        <v>167</v>
      </c>
      <c r="B967" s="253" t="s">
        <v>80</v>
      </c>
      <c r="C967" s="38"/>
      <c r="D967" s="38"/>
      <c r="E967" s="254"/>
      <c r="F967" s="251"/>
      <c r="G967" s="403"/>
      <c r="H967" s="404"/>
      <c r="I967" s="404"/>
      <c r="J967" s="404"/>
      <c r="K967" s="404"/>
      <c r="L967" s="404"/>
      <c r="M967" s="404"/>
      <c r="N967" s="404"/>
      <c r="O967" s="404"/>
      <c r="P967" s="404"/>
      <c r="Q967" s="404"/>
      <c r="R967" s="404"/>
      <c r="S967" s="404"/>
      <c r="T967" s="405"/>
      <c r="AM967" s="259"/>
    </row>
    <row r="968" spans="1:39" s="258" customFormat="1" ht="48.75" customHeight="1" x14ac:dyDescent="0.45">
      <c r="A968" s="313"/>
      <c r="B968" s="253"/>
      <c r="C968" s="38"/>
      <c r="D968" s="38"/>
      <c r="E968" s="302"/>
      <c r="F968" s="302"/>
      <c r="G968" s="406"/>
      <c r="H968" s="407"/>
      <c r="I968" s="407"/>
      <c r="J968" s="407"/>
      <c r="K968" s="407"/>
      <c r="L968" s="407"/>
      <c r="M968" s="407"/>
      <c r="N968" s="407"/>
      <c r="O968" s="407"/>
      <c r="P968" s="407"/>
      <c r="Q968" s="407"/>
      <c r="R968" s="407"/>
      <c r="S968" s="407"/>
      <c r="T968" s="408"/>
      <c r="AM968" s="259"/>
    </row>
    <row r="969" spans="1:39" s="258" customFormat="1" ht="40.5" customHeight="1" thickBot="1" x14ac:dyDescent="0.5">
      <c r="A969" s="278"/>
      <c r="B969" s="253"/>
      <c r="C969" s="253"/>
      <c r="D969" s="68"/>
      <c r="E969" s="264"/>
      <c r="F969" s="265"/>
      <c r="G969" s="266"/>
      <c r="H969" s="266"/>
      <c r="I969" s="266"/>
      <c r="J969" s="266"/>
      <c r="K969" s="266"/>
      <c r="L969" s="266"/>
      <c r="M969" s="266"/>
      <c r="N969" s="266"/>
      <c r="O969" s="266"/>
      <c r="P969" s="266"/>
      <c r="Q969" s="266"/>
      <c r="R969" s="266"/>
      <c r="S969" s="267">
        <f>SUM(S962:S968)</f>
        <v>9000</v>
      </c>
      <c r="T969" s="268">
        <f>SUM(T962:T968)</f>
        <v>60000</v>
      </c>
      <c r="AM969" s="259"/>
    </row>
    <row r="970" spans="1:39" s="258" customFormat="1" ht="48.75" customHeight="1" x14ac:dyDescent="0.45">
      <c r="A970" s="278"/>
      <c r="B970" s="253"/>
      <c r="C970" s="253"/>
      <c r="D970" s="68"/>
      <c r="E970" s="253"/>
      <c r="F970" s="253"/>
      <c r="G970" s="253"/>
      <c r="H970" s="253"/>
      <c r="I970" s="253"/>
      <c r="J970" s="253"/>
      <c r="K970" s="253"/>
      <c r="L970" s="253"/>
      <c r="M970" s="253"/>
      <c r="N970" s="253"/>
      <c r="O970" s="253"/>
      <c r="P970" s="253"/>
      <c r="Q970" s="253"/>
      <c r="R970" s="253"/>
      <c r="S970" s="269"/>
      <c r="T970" s="269"/>
      <c r="AM970" s="259"/>
    </row>
    <row r="971" spans="1:39" s="245" customFormat="1" ht="59.25" customHeight="1" x14ac:dyDescent="0.5">
      <c r="A971" s="55" t="s">
        <v>31</v>
      </c>
      <c r="B971" s="241" t="s">
        <v>7</v>
      </c>
      <c r="C971" s="242" t="s">
        <v>32</v>
      </c>
      <c r="D971" s="243" t="s">
        <v>33</v>
      </c>
      <c r="E971" s="242" t="s">
        <v>34</v>
      </c>
      <c r="F971" s="244" t="s">
        <v>11</v>
      </c>
      <c r="G971" s="244" t="s">
        <v>12</v>
      </c>
      <c r="H971" s="244" t="s">
        <v>13</v>
      </c>
      <c r="I971" s="244" t="s">
        <v>14</v>
      </c>
      <c r="J971" s="244" t="s">
        <v>15</v>
      </c>
      <c r="K971" s="244" t="s">
        <v>16</v>
      </c>
      <c r="L971" s="244" t="s">
        <v>17</v>
      </c>
      <c r="M971" s="244" t="s">
        <v>18</v>
      </c>
      <c r="N971" s="244" t="s">
        <v>19</v>
      </c>
      <c r="O971" s="244" t="s">
        <v>20</v>
      </c>
      <c r="P971" s="244" t="s">
        <v>21</v>
      </c>
      <c r="Q971" s="244" t="s">
        <v>22</v>
      </c>
      <c r="R971" s="244" t="s">
        <v>23</v>
      </c>
      <c r="S971" s="20" t="s">
        <v>24</v>
      </c>
      <c r="T971" s="20" t="s">
        <v>25</v>
      </c>
      <c r="AM971" s="246"/>
    </row>
    <row r="972" spans="1:39" ht="51.75" customHeight="1" x14ac:dyDescent="0.25">
      <c r="A972" s="310" t="s">
        <v>257</v>
      </c>
      <c r="B972" s="17"/>
      <c r="C972" s="247" t="s">
        <v>258</v>
      </c>
      <c r="D972" s="19"/>
      <c r="E972" s="26">
        <v>2025</v>
      </c>
      <c r="F972" s="251">
        <v>5000</v>
      </c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64">
        <f t="shared" ref="S972:S978" si="43">SUM(G972:R972)</f>
        <v>0</v>
      </c>
      <c r="T972" s="29">
        <f>SUM(F972*IF(E972=_current_year,_current_month,12)-(S972))</f>
        <v>60000</v>
      </c>
    </row>
    <row r="973" spans="1:39" ht="51.75" customHeight="1" x14ac:dyDescent="0.25">
      <c r="A973" s="310"/>
      <c r="B973" s="17"/>
      <c r="C973" s="247"/>
      <c r="D973" s="19"/>
      <c r="E973" s="30">
        <v>2024</v>
      </c>
      <c r="F973" s="251">
        <v>3000</v>
      </c>
      <c r="G973" s="22"/>
      <c r="H973" s="22"/>
      <c r="I973" s="22"/>
      <c r="J973" s="22">
        <v>36000</v>
      </c>
      <c r="K973" s="22"/>
      <c r="L973" s="22"/>
      <c r="M973" s="22"/>
      <c r="N973" s="22"/>
      <c r="O973" s="22"/>
      <c r="P973" s="22"/>
      <c r="Q973" s="22"/>
      <c r="R973" s="22"/>
      <c r="S973" s="37">
        <f t="shared" si="43"/>
        <v>36000</v>
      </c>
      <c r="T973" s="22">
        <f>SUM(F973*IF(E973=_current_year,_current_month,12)-(S973))</f>
        <v>0</v>
      </c>
      <c r="W973" t="s">
        <v>259</v>
      </c>
    </row>
    <row r="974" spans="1:39" ht="51.75" customHeight="1" x14ac:dyDescent="0.25">
      <c r="A974" s="310"/>
      <c r="B974" s="17"/>
      <c r="C974" s="247"/>
      <c r="D974" s="19"/>
      <c r="E974" s="30">
        <v>2023</v>
      </c>
      <c r="F974" s="251">
        <v>3000</v>
      </c>
      <c r="G974" s="22"/>
      <c r="H974" s="22">
        <v>12000</v>
      </c>
      <c r="I974" s="22"/>
      <c r="J974" s="22"/>
      <c r="K974" s="22"/>
      <c r="L974" s="22"/>
      <c r="M974" s="22"/>
      <c r="N974" s="22">
        <v>24000</v>
      </c>
      <c r="O974" s="22"/>
      <c r="P974" s="22"/>
      <c r="Q974" s="22"/>
      <c r="R974" s="22"/>
      <c r="S974" s="37">
        <f t="shared" si="43"/>
        <v>36000</v>
      </c>
      <c r="T974" s="22">
        <f>SUM(F974*IF(E974=_current_year,_current_month,12)-(S974))</f>
        <v>0</v>
      </c>
    </row>
    <row r="975" spans="1:39" s="220" customFormat="1" ht="48" customHeight="1" x14ac:dyDescent="0.4">
      <c r="A975" s="310"/>
      <c r="B975" s="33" t="s">
        <v>28</v>
      </c>
      <c r="C975" s="85" t="s">
        <v>260</v>
      </c>
      <c r="D975" s="35"/>
      <c r="E975" s="30">
        <v>2022</v>
      </c>
      <c r="F975" s="251">
        <v>3000</v>
      </c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7">
        <f t="shared" si="43"/>
        <v>0</v>
      </c>
      <c r="T975" s="37">
        <f>SUM(36000-S975)</f>
        <v>36000</v>
      </c>
      <c r="AM975" s="250"/>
    </row>
    <row r="976" spans="1:39" s="220" customFormat="1" ht="48.75" customHeight="1" x14ac:dyDescent="0.4">
      <c r="A976" s="313" t="s">
        <v>167</v>
      </c>
      <c r="B976" s="33" t="s">
        <v>28</v>
      </c>
      <c r="C976" s="38" t="s">
        <v>52</v>
      </c>
      <c r="D976" s="38"/>
      <c r="E976" s="30">
        <v>2021</v>
      </c>
      <c r="F976" s="251">
        <v>3000</v>
      </c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252">
        <f t="shared" si="43"/>
        <v>0</v>
      </c>
      <c r="T976" s="252">
        <f>SUM(36000-S976)</f>
        <v>36000</v>
      </c>
      <c r="AM976" s="250"/>
    </row>
    <row r="977" spans="1:39" s="258" customFormat="1" ht="48.75" customHeight="1" x14ac:dyDescent="0.45">
      <c r="A977" s="313"/>
      <c r="B977" s="253" t="s">
        <v>68</v>
      </c>
      <c r="C977" s="38"/>
      <c r="D977" s="38"/>
      <c r="E977" s="254">
        <v>2020</v>
      </c>
      <c r="F977" s="251">
        <v>3000</v>
      </c>
      <c r="G977" s="302"/>
      <c r="H977" s="302"/>
      <c r="I977" s="302"/>
      <c r="J977" s="302"/>
      <c r="K977" s="302"/>
      <c r="L977" s="302"/>
      <c r="M977" s="302"/>
      <c r="N977" s="302"/>
      <c r="O977" s="302"/>
      <c r="P977" s="302"/>
      <c r="Q977" s="302"/>
      <c r="R977" s="302"/>
      <c r="S977" s="252">
        <f t="shared" si="43"/>
        <v>0</v>
      </c>
      <c r="T977" s="257">
        <f>SUM(36000-S977)</f>
        <v>36000</v>
      </c>
      <c r="AM977" s="259"/>
    </row>
    <row r="978" spans="1:39" s="258" customFormat="1" ht="48.75" customHeight="1" x14ac:dyDescent="0.45">
      <c r="A978" s="311"/>
      <c r="B978" s="253"/>
      <c r="C978" s="38"/>
      <c r="D978" s="38"/>
      <c r="E978" s="254">
        <v>2018</v>
      </c>
      <c r="F978" s="251">
        <v>3000</v>
      </c>
      <c r="G978" s="302"/>
      <c r="H978" s="302"/>
      <c r="I978" s="302"/>
      <c r="J978" s="302"/>
      <c r="K978" s="302"/>
      <c r="L978" s="302"/>
      <c r="M978" s="302"/>
      <c r="N978" s="302"/>
      <c r="O978" s="302"/>
      <c r="P978" s="302"/>
      <c r="Q978" s="302"/>
      <c r="R978" s="302"/>
      <c r="S978" s="252">
        <f t="shared" si="43"/>
        <v>0</v>
      </c>
      <c r="T978" s="257">
        <f>SUM(36000-S978)</f>
        <v>36000</v>
      </c>
      <c r="AM978" s="259"/>
    </row>
    <row r="979" spans="1:39" s="258" customFormat="1" ht="48.75" customHeight="1" thickBot="1" x14ac:dyDescent="0.5">
      <c r="A979" s="278"/>
      <c r="B979" s="253"/>
      <c r="C979" s="38"/>
      <c r="D979" s="38"/>
      <c r="E979" s="264"/>
      <c r="F979" s="265"/>
      <c r="G979" s="266"/>
      <c r="H979" s="266"/>
      <c r="I979" s="266"/>
      <c r="J979" s="266"/>
      <c r="K979" s="266"/>
      <c r="L979" s="266"/>
      <c r="M979" s="266"/>
      <c r="N979" s="266"/>
      <c r="O979" s="266"/>
      <c r="P979" s="266"/>
      <c r="Q979" s="266"/>
      <c r="R979" s="266"/>
      <c r="S979" s="267">
        <f>SUM(S972:S978)</f>
        <v>72000</v>
      </c>
      <c r="T979" s="268">
        <f>SUM(T972:T978)</f>
        <v>204000</v>
      </c>
      <c r="AM979" s="259"/>
    </row>
    <row r="980" spans="1:39" s="258" customFormat="1" ht="48.75" customHeight="1" x14ac:dyDescent="0.45">
      <c r="A980" s="278"/>
      <c r="B980" s="253"/>
      <c r="C980" s="253"/>
      <c r="D980" s="68"/>
      <c r="E980" s="264"/>
      <c r="F980" s="264"/>
      <c r="G980" s="276"/>
      <c r="H980" s="276"/>
      <c r="I980" s="276"/>
      <c r="J980" s="276"/>
      <c r="K980" s="276"/>
      <c r="L980" s="276"/>
      <c r="M980" s="276"/>
      <c r="N980" s="276"/>
      <c r="O980" s="276"/>
      <c r="P980" s="276"/>
      <c r="Q980" s="276"/>
      <c r="R980" s="276"/>
      <c r="S980" s="286"/>
      <c r="T980" s="286"/>
      <c r="AM980" s="259"/>
    </row>
    <row r="981" spans="1:39" s="245" customFormat="1" ht="61.5" customHeight="1" x14ac:dyDescent="0.5">
      <c r="A981" s="55" t="s">
        <v>31</v>
      </c>
      <c r="B981" s="241" t="s">
        <v>7</v>
      </c>
      <c r="C981" s="242" t="s">
        <v>32</v>
      </c>
      <c r="D981" s="243" t="s">
        <v>33</v>
      </c>
      <c r="E981" s="242" t="s">
        <v>34</v>
      </c>
      <c r="F981" s="244" t="s">
        <v>11</v>
      </c>
      <c r="G981" s="244" t="s">
        <v>12</v>
      </c>
      <c r="H981" s="244" t="s">
        <v>13</v>
      </c>
      <c r="I981" s="244" t="s">
        <v>14</v>
      </c>
      <c r="J981" s="244" t="s">
        <v>15</v>
      </c>
      <c r="K981" s="244" t="s">
        <v>16</v>
      </c>
      <c r="L981" s="244" t="s">
        <v>17</v>
      </c>
      <c r="M981" s="244" t="s">
        <v>18</v>
      </c>
      <c r="N981" s="244" t="s">
        <v>19</v>
      </c>
      <c r="O981" s="244" t="s">
        <v>20</v>
      </c>
      <c r="P981" s="244" t="s">
        <v>21</v>
      </c>
      <c r="Q981" s="244" t="s">
        <v>22</v>
      </c>
      <c r="R981" s="244" t="s">
        <v>23</v>
      </c>
      <c r="S981" s="20" t="s">
        <v>24</v>
      </c>
      <c r="T981" s="20" t="s">
        <v>25</v>
      </c>
      <c r="AM981" s="246"/>
    </row>
    <row r="982" spans="1:39" ht="51.75" customHeight="1" x14ac:dyDescent="0.25">
      <c r="A982" s="54"/>
      <c r="B982" s="17"/>
      <c r="C982" s="279" t="s">
        <v>261</v>
      </c>
      <c r="D982" s="19"/>
      <c r="E982" s="26">
        <v>2025</v>
      </c>
      <c r="F982" s="27">
        <v>10000</v>
      </c>
      <c r="G982" s="22"/>
      <c r="H982" s="22"/>
      <c r="I982" s="22"/>
      <c r="J982" s="22"/>
      <c r="K982" s="22"/>
      <c r="L982" s="22"/>
      <c r="M982" s="22"/>
      <c r="N982" s="22">
        <v>475000</v>
      </c>
      <c r="O982" s="22"/>
      <c r="P982" s="22"/>
      <c r="Q982" s="22"/>
      <c r="R982" s="22"/>
      <c r="S982" s="64">
        <f t="shared" ref="S982:S992" si="44">SUM(G982:R982)</f>
        <v>475000</v>
      </c>
      <c r="T982" s="29">
        <f>SUM(F982*IF(E982=_current_year,_current_month,12)-(S982))</f>
        <v>-355000</v>
      </c>
    </row>
    <row r="983" spans="1:39" ht="51.75" customHeight="1" x14ac:dyDescent="0.25">
      <c r="A983" s="307">
        <v>27</v>
      </c>
      <c r="B983" s="17"/>
      <c r="C983" s="279"/>
      <c r="D983" s="19"/>
      <c r="E983" s="30">
        <v>2024</v>
      </c>
      <c r="F983" s="27">
        <v>5000</v>
      </c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37">
        <f t="shared" si="44"/>
        <v>0</v>
      </c>
      <c r="T983" s="22">
        <f>SUM(F983*IF(E983=_current_year,_current_month,12)-(S983))</f>
        <v>60000</v>
      </c>
    </row>
    <row r="984" spans="1:39" ht="51.75" customHeight="1" x14ac:dyDescent="0.25">
      <c r="A984" s="307"/>
      <c r="B984" s="17"/>
      <c r="C984" s="279"/>
      <c r="D984" s="19"/>
      <c r="E984" s="30">
        <v>2023</v>
      </c>
      <c r="F984" s="27">
        <v>5000</v>
      </c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37">
        <f t="shared" si="44"/>
        <v>0</v>
      </c>
      <c r="T984" s="22">
        <f>SUM(F984*IF(E984=_current_year,_current_month,12)-(S984))</f>
        <v>60000</v>
      </c>
    </row>
    <row r="985" spans="1:39" s="220" customFormat="1" ht="48" customHeight="1" x14ac:dyDescent="0.4">
      <c r="A985" s="307"/>
      <c r="B985" s="33" t="s">
        <v>28</v>
      </c>
      <c r="C985" s="34"/>
      <c r="D985" s="35"/>
      <c r="E985" s="30">
        <v>2022</v>
      </c>
      <c r="F985" s="27">
        <v>5000</v>
      </c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7">
        <f t="shared" si="44"/>
        <v>0</v>
      </c>
      <c r="T985" s="37">
        <f t="shared" ref="T985:T992" si="45">SUM(60000-S985)</f>
        <v>60000</v>
      </c>
      <c r="AM985" s="250"/>
    </row>
    <row r="986" spans="1:39" s="220" customFormat="1" ht="48.75" customHeight="1" x14ac:dyDescent="0.4">
      <c r="A986" s="313" t="s">
        <v>167</v>
      </c>
      <c r="B986" s="33" t="s">
        <v>28</v>
      </c>
      <c r="C986" s="38" t="s">
        <v>52</v>
      </c>
      <c r="D986" s="38"/>
      <c r="E986" s="30">
        <v>2021</v>
      </c>
      <c r="F986" s="251">
        <v>5000</v>
      </c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252">
        <f t="shared" si="44"/>
        <v>0</v>
      </c>
      <c r="T986" s="252">
        <f t="shared" si="45"/>
        <v>60000</v>
      </c>
      <c r="AM986" s="250"/>
    </row>
    <row r="987" spans="1:39" s="258" customFormat="1" ht="48.75" customHeight="1" x14ac:dyDescent="0.45">
      <c r="A987" s="313"/>
      <c r="B987" s="253" t="s">
        <v>28</v>
      </c>
      <c r="C987" s="38"/>
      <c r="D987" s="38"/>
      <c r="E987" s="254">
        <v>2020</v>
      </c>
      <c r="F987" s="251">
        <v>5000</v>
      </c>
      <c r="G987" s="302"/>
      <c r="H987" s="302"/>
      <c r="I987" s="302"/>
      <c r="J987" s="302"/>
      <c r="K987" s="302"/>
      <c r="L987" s="302">
        <v>120000</v>
      </c>
      <c r="M987" s="302"/>
      <c r="N987" s="302"/>
      <c r="O987" s="302"/>
      <c r="P987" s="302"/>
      <c r="Q987" s="302"/>
      <c r="R987" s="302"/>
      <c r="S987" s="252">
        <f t="shared" si="44"/>
        <v>120000</v>
      </c>
      <c r="T987" s="257">
        <f t="shared" si="45"/>
        <v>-60000</v>
      </c>
      <c r="AM987" s="259"/>
    </row>
    <row r="988" spans="1:39" s="258" customFormat="1" ht="48.75" customHeight="1" x14ac:dyDescent="0.75">
      <c r="A988" s="409"/>
      <c r="B988" s="253"/>
      <c r="C988" s="38"/>
      <c r="D988" s="38"/>
      <c r="E988" s="254">
        <v>2019</v>
      </c>
      <c r="F988" s="251">
        <v>5000</v>
      </c>
      <c r="G988" s="302"/>
      <c r="H988" s="302"/>
      <c r="I988" s="302"/>
      <c r="J988" s="302"/>
      <c r="K988" s="302"/>
      <c r="L988" s="302"/>
      <c r="M988" s="302"/>
      <c r="N988" s="302"/>
      <c r="O988" s="302"/>
      <c r="P988" s="302"/>
      <c r="Q988" s="302"/>
      <c r="R988" s="302"/>
      <c r="S988" s="252">
        <f t="shared" si="44"/>
        <v>0</v>
      </c>
      <c r="T988" s="257">
        <f t="shared" si="45"/>
        <v>60000</v>
      </c>
      <c r="AM988" s="259"/>
    </row>
    <row r="989" spans="1:39" s="258" customFormat="1" ht="48.75" customHeight="1" x14ac:dyDescent="0.75">
      <c r="A989" s="409"/>
      <c r="B989" s="253"/>
      <c r="C989" s="38"/>
      <c r="D989" s="38"/>
      <c r="E989" s="254">
        <v>2018</v>
      </c>
      <c r="F989" s="251">
        <v>5000</v>
      </c>
      <c r="G989" s="302"/>
      <c r="H989" s="302"/>
      <c r="I989" s="302"/>
      <c r="J989" s="302"/>
      <c r="K989" s="302"/>
      <c r="L989" s="302"/>
      <c r="M989" s="302"/>
      <c r="N989" s="302"/>
      <c r="O989" s="302"/>
      <c r="P989" s="302"/>
      <c r="Q989" s="302"/>
      <c r="R989" s="302"/>
      <c r="S989" s="252">
        <f t="shared" si="44"/>
        <v>0</v>
      </c>
      <c r="T989" s="257">
        <f t="shared" si="45"/>
        <v>60000</v>
      </c>
      <c r="AM989" s="259"/>
    </row>
    <row r="990" spans="1:39" s="258" customFormat="1" ht="48.75" customHeight="1" x14ac:dyDescent="0.75">
      <c r="A990" s="409"/>
      <c r="B990" s="253"/>
      <c r="C990" s="38"/>
      <c r="D990" s="38"/>
      <c r="E990" s="254">
        <v>2017</v>
      </c>
      <c r="F990" s="251">
        <v>5000</v>
      </c>
      <c r="G990" s="302"/>
      <c r="H990" s="302"/>
      <c r="I990" s="302"/>
      <c r="J990" s="302"/>
      <c r="K990" s="302"/>
      <c r="L990" s="302"/>
      <c r="M990" s="256"/>
      <c r="N990" s="256"/>
      <c r="O990" s="256"/>
      <c r="P990" s="256"/>
      <c r="Q990" s="256"/>
      <c r="R990" s="256"/>
      <c r="S990" s="252">
        <f t="shared" si="44"/>
        <v>0</v>
      </c>
      <c r="T990" s="257">
        <f t="shared" si="45"/>
        <v>60000</v>
      </c>
      <c r="AM990" s="259"/>
    </row>
    <row r="991" spans="1:39" s="258" customFormat="1" ht="48.75" customHeight="1" x14ac:dyDescent="0.75">
      <c r="A991" s="409"/>
      <c r="B991" s="253"/>
      <c r="C991" s="38"/>
      <c r="D991" s="38"/>
      <c r="E991" s="254">
        <v>2016</v>
      </c>
      <c r="F991" s="251">
        <v>5000</v>
      </c>
      <c r="G991" s="260">
        <v>5000</v>
      </c>
      <c r="H991" s="260">
        <v>5000</v>
      </c>
      <c r="I991" s="260">
        <v>5000</v>
      </c>
      <c r="J991" s="260">
        <v>5000</v>
      </c>
      <c r="K991" s="260">
        <v>5000</v>
      </c>
      <c r="L991" s="260">
        <v>5000</v>
      </c>
      <c r="M991" s="260">
        <v>5000</v>
      </c>
      <c r="N991" s="260">
        <v>5000</v>
      </c>
      <c r="O991" s="260">
        <v>5000</v>
      </c>
      <c r="P991" s="260">
        <v>5000</v>
      </c>
      <c r="Q991" s="260">
        <v>5000</v>
      </c>
      <c r="R991" s="256"/>
      <c r="S991" s="252">
        <f t="shared" si="44"/>
        <v>55000</v>
      </c>
      <c r="T991" s="257">
        <f t="shared" si="45"/>
        <v>5000</v>
      </c>
      <c r="AM991" s="259"/>
    </row>
    <row r="992" spans="1:39" s="258" customFormat="1" ht="48.75" customHeight="1" x14ac:dyDescent="0.75">
      <c r="A992" s="410"/>
      <c r="B992" s="253"/>
      <c r="C992" s="38"/>
      <c r="D992" s="38"/>
      <c r="E992" s="254">
        <v>2015</v>
      </c>
      <c r="F992" s="251">
        <v>5000</v>
      </c>
      <c r="G992" s="260">
        <v>5000</v>
      </c>
      <c r="H992" s="260">
        <v>5000</v>
      </c>
      <c r="I992" s="260">
        <v>5000</v>
      </c>
      <c r="J992" s="260">
        <v>5000</v>
      </c>
      <c r="K992" s="260">
        <v>5000</v>
      </c>
      <c r="L992" s="260">
        <v>5000</v>
      </c>
      <c r="M992" s="260">
        <v>5000</v>
      </c>
      <c r="N992" s="260">
        <v>5000</v>
      </c>
      <c r="O992" s="260">
        <v>5000</v>
      </c>
      <c r="P992" s="260">
        <v>5000</v>
      </c>
      <c r="Q992" s="260">
        <v>5000</v>
      </c>
      <c r="R992" s="260">
        <v>5000</v>
      </c>
      <c r="S992" s="252">
        <f t="shared" si="44"/>
        <v>60000</v>
      </c>
      <c r="T992" s="257">
        <f t="shared" si="45"/>
        <v>0</v>
      </c>
      <c r="AM992" s="259"/>
    </row>
    <row r="993" spans="1:39" s="258" customFormat="1" ht="48.75" customHeight="1" thickBot="1" x14ac:dyDescent="0.5">
      <c r="A993" s="278"/>
      <c r="B993" s="253"/>
      <c r="C993" s="253"/>
      <c r="D993" s="68"/>
      <c r="E993" s="264"/>
      <c r="F993" s="265"/>
      <c r="G993" s="266"/>
      <c r="H993" s="266"/>
      <c r="I993" s="266"/>
      <c r="J993" s="266"/>
      <c r="K993" s="266"/>
      <c r="L993" s="266"/>
      <c r="M993" s="266"/>
      <c r="N993" s="266"/>
      <c r="O993" s="266"/>
      <c r="P993" s="266"/>
      <c r="Q993" s="266"/>
      <c r="R993" s="266"/>
      <c r="S993" s="267">
        <f>SUM(S983:S992)</f>
        <v>235000</v>
      </c>
      <c r="T993" s="268">
        <f>SUM(T982:T992)</f>
        <v>10000</v>
      </c>
      <c r="AM993" s="259"/>
    </row>
    <row r="994" spans="1:39" s="258" customFormat="1" ht="48.75" customHeight="1" x14ac:dyDescent="0.45">
      <c r="A994" s="278"/>
      <c r="B994" s="253"/>
      <c r="C994" s="253"/>
      <c r="D994" s="68"/>
      <c r="E994" s="253"/>
      <c r="F994" s="253"/>
      <c r="G994" s="253"/>
      <c r="H994" s="253"/>
      <c r="I994" s="253"/>
      <c r="J994" s="253"/>
      <c r="K994" s="253"/>
      <c r="L994" s="253"/>
      <c r="M994" s="253"/>
      <c r="N994" s="253"/>
      <c r="O994" s="253"/>
      <c r="P994" s="253"/>
      <c r="Q994" s="253"/>
      <c r="R994" s="253"/>
      <c r="S994" s="269"/>
      <c r="T994" s="269"/>
      <c r="AM994" s="259"/>
    </row>
    <row r="995" spans="1:39" s="245" customFormat="1" ht="61.5" customHeight="1" x14ac:dyDescent="0.5">
      <c r="A995" s="55" t="s">
        <v>31</v>
      </c>
      <c r="B995" s="241" t="s">
        <v>7</v>
      </c>
      <c r="C995" s="242" t="s">
        <v>32</v>
      </c>
      <c r="D995" s="243" t="s">
        <v>33</v>
      </c>
      <c r="E995" s="242" t="s">
        <v>34</v>
      </c>
      <c r="F995" s="244" t="s">
        <v>11</v>
      </c>
      <c r="G995" s="244" t="s">
        <v>12</v>
      </c>
      <c r="H995" s="244" t="s">
        <v>13</v>
      </c>
      <c r="I995" s="244" t="s">
        <v>14</v>
      </c>
      <c r="J995" s="244" t="s">
        <v>15</v>
      </c>
      <c r="K995" s="244" t="s">
        <v>16</v>
      </c>
      <c r="L995" s="244" t="s">
        <v>17</v>
      </c>
      <c r="M995" s="244" t="s">
        <v>18</v>
      </c>
      <c r="N995" s="244" t="s">
        <v>19</v>
      </c>
      <c r="O995" s="244" t="s">
        <v>20</v>
      </c>
      <c r="P995" s="244" t="s">
        <v>21</v>
      </c>
      <c r="Q995" s="244" t="s">
        <v>22</v>
      </c>
      <c r="R995" s="244" t="s">
        <v>23</v>
      </c>
      <c r="S995" s="20" t="s">
        <v>24</v>
      </c>
      <c r="T995" s="20" t="s">
        <v>25</v>
      </c>
      <c r="AM995" s="246"/>
    </row>
    <row r="996" spans="1:39" ht="51.75" customHeight="1" x14ac:dyDescent="0.25">
      <c r="A996" s="411" t="s">
        <v>262</v>
      </c>
      <c r="B996" s="17"/>
      <c r="C996" s="412" t="s">
        <v>263</v>
      </c>
      <c r="D996" s="19"/>
      <c r="E996" s="26">
        <v>2025</v>
      </c>
      <c r="F996" s="27">
        <v>10000</v>
      </c>
      <c r="G996" s="22"/>
      <c r="H996" s="22"/>
      <c r="I996" s="22"/>
      <c r="J996" s="22"/>
      <c r="K996" s="22">
        <v>60000</v>
      </c>
      <c r="L996" s="22"/>
      <c r="M996" s="22"/>
      <c r="N996" s="22"/>
      <c r="O996" s="22"/>
      <c r="P996" s="22"/>
      <c r="Q996" s="22"/>
      <c r="R996" s="22"/>
      <c r="S996" s="64">
        <f t="shared" ref="S996" si="46">SUM(G996:R996)</f>
        <v>60000</v>
      </c>
      <c r="T996" s="29"/>
    </row>
    <row r="997" spans="1:39" ht="51.75" customHeight="1" x14ac:dyDescent="0.25">
      <c r="A997" s="411"/>
      <c r="B997" s="17"/>
      <c r="C997" s="413" t="s">
        <v>264</v>
      </c>
      <c r="D997" s="19"/>
      <c r="E997" s="30"/>
      <c r="F997" s="27"/>
      <c r="G997" s="414" t="s">
        <v>265</v>
      </c>
      <c r="H997" s="415"/>
      <c r="I997" s="415"/>
      <c r="J997" s="415"/>
      <c r="K997" s="415"/>
      <c r="L997" s="415"/>
      <c r="M997" s="415"/>
      <c r="N997" s="415"/>
      <c r="O997" s="415"/>
      <c r="P997" s="415"/>
      <c r="Q997" s="415"/>
      <c r="R997" s="416"/>
      <c r="S997" s="37"/>
      <c r="T997" s="22"/>
    </row>
    <row r="998" spans="1:39" ht="51.75" customHeight="1" x14ac:dyDescent="0.25">
      <c r="A998" s="411"/>
      <c r="B998" s="17"/>
      <c r="C998" s="315"/>
      <c r="D998" s="19"/>
      <c r="E998" s="30"/>
      <c r="F998" s="27"/>
      <c r="G998" s="417"/>
      <c r="H998" s="418"/>
      <c r="I998" s="418"/>
      <c r="J998" s="418"/>
      <c r="K998" s="418"/>
      <c r="L998" s="418"/>
      <c r="M998" s="418"/>
      <c r="N998" s="418"/>
      <c r="O998" s="418"/>
      <c r="P998" s="418"/>
      <c r="Q998" s="418"/>
      <c r="R998" s="419"/>
      <c r="S998" s="37"/>
      <c r="T998" s="22"/>
    </row>
    <row r="999" spans="1:39" s="220" customFormat="1" ht="48" customHeight="1" x14ac:dyDescent="0.4">
      <c r="A999" s="411"/>
      <c r="B999" s="33" t="s">
        <v>28</v>
      </c>
      <c r="C999" s="34"/>
      <c r="D999" s="35"/>
      <c r="E999" s="30"/>
      <c r="F999" s="27"/>
      <c r="G999" s="417"/>
      <c r="H999" s="418"/>
      <c r="I999" s="418"/>
      <c r="J999" s="418"/>
      <c r="K999" s="418"/>
      <c r="L999" s="418"/>
      <c r="M999" s="418"/>
      <c r="N999" s="418"/>
      <c r="O999" s="418"/>
      <c r="P999" s="418"/>
      <c r="Q999" s="418"/>
      <c r="R999" s="419"/>
      <c r="S999" s="37"/>
      <c r="T999" s="37"/>
      <c r="AM999" s="250"/>
    </row>
    <row r="1000" spans="1:39" s="220" customFormat="1" ht="48.75" customHeight="1" x14ac:dyDescent="0.4">
      <c r="A1000" s="411"/>
      <c r="B1000" s="33" t="s">
        <v>28</v>
      </c>
      <c r="C1000" s="38" t="s">
        <v>52</v>
      </c>
      <c r="D1000" s="38"/>
      <c r="E1000" s="30"/>
      <c r="F1000" s="251"/>
      <c r="G1000" s="417"/>
      <c r="H1000" s="418"/>
      <c r="I1000" s="418"/>
      <c r="J1000" s="418"/>
      <c r="K1000" s="418"/>
      <c r="L1000" s="418"/>
      <c r="M1000" s="418"/>
      <c r="N1000" s="418"/>
      <c r="O1000" s="418"/>
      <c r="P1000" s="418"/>
      <c r="Q1000" s="418"/>
      <c r="R1000" s="419"/>
      <c r="S1000" s="252"/>
      <c r="T1000" s="252"/>
      <c r="AM1000" s="250"/>
    </row>
    <row r="1001" spans="1:39" s="258" customFormat="1" ht="48.75" customHeight="1" x14ac:dyDescent="0.45">
      <c r="A1001" s="313" t="s">
        <v>167</v>
      </c>
      <c r="B1001" s="253" t="s">
        <v>28</v>
      </c>
      <c r="C1001" s="38"/>
      <c r="D1001" s="38"/>
      <c r="E1001" s="254"/>
      <c r="F1001" s="251"/>
      <c r="G1001" s="417"/>
      <c r="H1001" s="418"/>
      <c r="I1001" s="418"/>
      <c r="J1001" s="418"/>
      <c r="K1001" s="418"/>
      <c r="L1001" s="418"/>
      <c r="M1001" s="418"/>
      <c r="N1001" s="418"/>
      <c r="O1001" s="418"/>
      <c r="P1001" s="418"/>
      <c r="Q1001" s="418"/>
      <c r="R1001" s="419"/>
      <c r="S1001" s="252"/>
      <c r="T1001" s="257"/>
      <c r="AM1001" s="259"/>
    </row>
    <row r="1002" spans="1:39" s="258" customFormat="1" ht="48.75" customHeight="1" x14ac:dyDescent="0.45">
      <c r="A1002" s="313"/>
      <c r="B1002" s="253"/>
      <c r="C1002" s="38"/>
      <c r="D1002" s="38"/>
      <c r="E1002" s="254"/>
      <c r="F1002" s="251"/>
      <c r="G1002" s="417"/>
      <c r="H1002" s="418"/>
      <c r="I1002" s="418"/>
      <c r="J1002" s="418"/>
      <c r="K1002" s="418"/>
      <c r="L1002" s="418"/>
      <c r="M1002" s="418"/>
      <c r="N1002" s="418"/>
      <c r="O1002" s="418"/>
      <c r="P1002" s="418"/>
      <c r="Q1002" s="418"/>
      <c r="R1002" s="419"/>
      <c r="S1002" s="252"/>
      <c r="T1002" s="257"/>
      <c r="AM1002" s="259"/>
    </row>
    <row r="1003" spans="1:39" s="258" customFormat="1" ht="48.75" customHeight="1" x14ac:dyDescent="0.75">
      <c r="A1003" s="420"/>
      <c r="B1003" s="253"/>
      <c r="C1003" s="38"/>
      <c r="D1003" s="38"/>
      <c r="E1003" s="254"/>
      <c r="F1003" s="251"/>
      <c r="G1003" s="417"/>
      <c r="H1003" s="418"/>
      <c r="I1003" s="418"/>
      <c r="J1003" s="418"/>
      <c r="K1003" s="418"/>
      <c r="L1003" s="418"/>
      <c r="M1003" s="418"/>
      <c r="N1003" s="418"/>
      <c r="O1003" s="418"/>
      <c r="P1003" s="418"/>
      <c r="Q1003" s="418"/>
      <c r="R1003" s="419"/>
      <c r="S1003" s="252"/>
      <c r="T1003" s="257"/>
      <c r="AM1003" s="259"/>
    </row>
    <row r="1004" spans="1:39" s="258" customFormat="1" ht="48.75" customHeight="1" x14ac:dyDescent="0.75">
      <c r="A1004" s="409"/>
      <c r="B1004" s="253"/>
      <c r="C1004" s="38"/>
      <c r="D1004" s="38"/>
      <c r="E1004" s="254"/>
      <c r="F1004" s="251"/>
      <c r="G1004" s="417"/>
      <c r="H1004" s="418"/>
      <c r="I1004" s="418"/>
      <c r="J1004" s="418"/>
      <c r="K1004" s="418"/>
      <c r="L1004" s="418"/>
      <c r="M1004" s="418"/>
      <c r="N1004" s="418"/>
      <c r="O1004" s="418"/>
      <c r="P1004" s="418"/>
      <c r="Q1004" s="418"/>
      <c r="R1004" s="419"/>
      <c r="S1004" s="252"/>
      <c r="T1004" s="257"/>
      <c r="AM1004" s="259"/>
    </row>
    <row r="1005" spans="1:39" s="258" customFormat="1" ht="48.75" customHeight="1" x14ac:dyDescent="0.75">
      <c r="A1005" s="409"/>
      <c r="B1005" s="253"/>
      <c r="C1005" s="38"/>
      <c r="D1005" s="38"/>
      <c r="E1005" s="254"/>
      <c r="F1005" s="251"/>
      <c r="G1005" s="417"/>
      <c r="H1005" s="418"/>
      <c r="I1005" s="418"/>
      <c r="J1005" s="418"/>
      <c r="K1005" s="418"/>
      <c r="L1005" s="418"/>
      <c r="M1005" s="418"/>
      <c r="N1005" s="418"/>
      <c r="O1005" s="418"/>
      <c r="P1005" s="418"/>
      <c r="Q1005" s="418"/>
      <c r="R1005" s="419"/>
      <c r="S1005" s="252"/>
      <c r="T1005" s="257"/>
      <c r="AM1005" s="259"/>
    </row>
    <row r="1006" spans="1:39" s="258" customFormat="1" ht="48.75" customHeight="1" x14ac:dyDescent="0.75">
      <c r="A1006" s="410"/>
      <c r="B1006" s="253"/>
      <c r="C1006" s="38"/>
      <c r="D1006" s="38"/>
      <c r="E1006" s="254"/>
      <c r="F1006" s="251"/>
      <c r="G1006" s="421"/>
      <c r="H1006" s="422"/>
      <c r="I1006" s="422"/>
      <c r="J1006" s="422"/>
      <c r="K1006" s="422"/>
      <c r="L1006" s="422"/>
      <c r="M1006" s="422"/>
      <c r="N1006" s="422"/>
      <c r="O1006" s="422"/>
      <c r="P1006" s="422"/>
      <c r="Q1006" s="422"/>
      <c r="R1006" s="423"/>
      <c r="S1006" s="252"/>
      <c r="T1006" s="257"/>
      <c r="AM1006" s="259"/>
    </row>
    <row r="1007" spans="1:39" s="258" customFormat="1" ht="48.75" customHeight="1" thickBot="1" x14ac:dyDescent="0.5">
      <c r="A1007" s="278"/>
      <c r="B1007" s="253"/>
      <c r="C1007" s="253"/>
      <c r="D1007" s="68"/>
      <c r="E1007" s="264"/>
      <c r="F1007" s="265"/>
      <c r="G1007" s="266"/>
      <c r="H1007" s="266"/>
      <c r="I1007" s="266"/>
      <c r="J1007" s="266"/>
      <c r="K1007" s="266"/>
      <c r="L1007" s="266"/>
      <c r="M1007" s="266"/>
      <c r="N1007" s="266"/>
      <c r="O1007" s="266"/>
      <c r="P1007" s="266"/>
      <c r="Q1007" s="266"/>
      <c r="R1007" s="266"/>
      <c r="S1007" s="267">
        <f>SUM(S996:S1006)</f>
        <v>60000</v>
      </c>
      <c r="T1007" s="268">
        <f>SUM(T996:T1006)</f>
        <v>0</v>
      </c>
      <c r="AM1007" s="259"/>
    </row>
    <row r="1008" spans="1:39" s="258" customFormat="1" ht="48.75" customHeight="1" x14ac:dyDescent="0.45">
      <c r="A1008" s="278"/>
      <c r="B1008" s="253"/>
      <c r="C1008" s="253"/>
      <c r="D1008" s="68"/>
      <c r="E1008" s="253"/>
      <c r="F1008" s="253"/>
      <c r="G1008" s="253"/>
      <c r="H1008" s="253"/>
      <c r="I1008" s="253"/>
      <c r="J1008" s="253"/>
      <c r="K1008" s="253"/>
      <c r="L1008" s="253"/>
      <c r="M1008" s="253"/>
      <c r="N1008" s="253"/>
      <c r="O1008" s="253"/>
      <c r="P1008" s="253"/>
      <c r="Q1008" s="253"/>
      <c r="R1008" s="253"/>
      <c r="S1008" s="269"/>
      <c r="T1008" s="269"/>
      <c r="AM1008" s="259"/>
    </row>
    <row r="1009" spans="1:39" s="245" customFormat="1" ht="59.25" customHeight="1" x14ac:dyDescent="0.5">
      <c r="A1009" s="55" t="s">
        <v>31</v>
      </c>
      <c r="B1009" s="241" t="s">
        <v>7</v>
      </c>
      <c r="C1009" s="242" t="s">
        <v>32</v>
      </c>
      <c r="D1009" s="243" t="s">
        <v>33</v>
      </c>
      <c r="E1009" s="242" t="s">
        <v>34</v>
      </c>
      <c r="F1009" s="244" t="s">
        <v>11</v>
      </c>
      <c r="G1009" s="244" t="s">
        <v>12</v>
      </c>
      <c r="H1009" s="244" t="s">
        <v>13</v>
      </c>
      <c r="I1009" s="244" t="s">
        <v>14</v>
      </c>
      <c r="J1009" s="244" t="s">
        <v>15</v>
      </c>
      <c r="K1009" s="244" t="s">
        <v>16</v>
      </c>
      <c r="L1009" s="244" t="s">
        <v>17</v>
      </c>
      <c r="M1009" s="244" t="s">
        <v>18</v>
      </c>
      <c r="N1009" s="244" t="s">
        <v>19</v>
      </c>
      <c r="O1009" s="244" t="s">
        <v>20</v>
      </c>
      <c r="P1009" s="244" t="s">
        <v>21</v>
      </c>
      <c r="Q1009" s="244" t="s">
        <v>22</v>
      </c>
      <c r="R1009" s="244" t="s">
        <v>23</v>
      </c>
      <c r="S1009" s="20" t="s">
        <v>24</v>
      </c>
      <c r="T1009" s="20" t="s">
        <v>25</v>
      </c>
      <c r="AM1009" s="246"/>
    </row>
    <row r="1010" spans="1:39" ht="51.6" customHeight="1" x14ac:dyDescent="0.25">
      <c r="A1010" s="310" t="s">
        <v>266</v>
      </c>
      <c r="B1010" s="17"/>
      <c r="C1010" s="312" t="s">
        <v>267</v>
      </c>
      <c r="D1010" s="19"/>
      <c r="E1010" s="26">
        <v>2025</v>
      </c>
      <c r="F1010" s="27">
        <v>10000</v>
      </c>
      <c r="G1010" s="22"/>
      <c r="H1010" s="22">
        <v>310000</v>
      </c>
      <c r="I1010" s="22"/>
      <c r="J1010" s="22"/>
      <c r="K1010" s="22"/>
      <c r="L1010" s="22"/>
      <c r="M1010" s="22"/>
      <c r="N1010" s="22"/>
      <c r="O1010" s="22"/>
      <c r="P1010" s="22"/>
      <c r="Q1010" s="22"/>
      <c r="R1010" s="22"/>
      <c r="S1010" s="64">
        <f t="shared" ref="S1010:S1015" si="47">SUM(G1010:R1010)</f>
        <v>310000</v>
      </c>
      <c r="T1010" s="29">
        <f>SUM(F1010*IF(E1010=_current_year,_current_month,12)-(S1010))</f>
        <v>-190000</v>
      </c>
    </row>
    <row r="1011" spans="1:39" ht="51.6" customHeight="1" x14ac:dyDescent="0.25">
      <c r="A1011" s="310"/>
      <c r="B1011" s="17"/>
      <c r="C1011" s="312"/>
      <c r="D1011" s="19"/>
      <c r="E1011" s="30">
        <v>2024</v>
      </c>
      <c r="F1011" s="27">
        <v>5000</v>
      </c>
      <c r="G1011" s="22"/>
      <c r="H1011" s="22">
        <v>120000</v>
      </c>
      <c r="I1011" s="22"/>
      <c r="J1011" s="22"/>
      <c r="K1011" s="22"/>
      <c r="L1011" s="22"/>
      <c r="M1011" s="22"/>
      <c r="N1011" s="22"/>
      <c r="O1011" s="22"/>
      <c r="P1011" s="22"/>
      <c r="Q1011" s="22"/>
      <c r="R1011" s="22"/>
      <c r="S1011" s="37">
        <f t="shared" si="47"/>
        <v>120000</v>
      </c>
      <c r="T1011" s="22">
        <f>SUM(F1011*IF(E1011=_current_year,_current_month,12)-(S1011))</f>
        <v>-60000</v>
      </c>
    </row>
    <row r="1012" spans="1:39" ht="51.75" customHeight="1" x14ac:dyDescent="0.25">
      <c r="A1012" s="310"/>
      <c r="B1012" s="17"/>
      <c r="C1012" s="312"/>
      <c r="D1012" s="19"/>
      <c r="E1012" s="30">
        <v>2023</v>
      </c>
      <c r="F1012" s="27">
        <v>5000</v>
      </c>
      <c r="G1012" s="22"/>
      <c r="H1012" s="22"/>
      <c r="I1012" s="22"/>
      <c r="J1012" s="22"/>
      <c r="K1012" s="22"/>
      <c r="L1012" s="22"/>
      <c r="M1012" s="22"/>
      <c r="N1012" s="22"/>
      <c r="O1012" s="22">
        <v>40000</v>
      </c>
      <c r="P1012" s="22"/>
      <c r="Q1012" s="22"/>
      <c r="R1012" s="22"/>
      <c r="S1012" s="37">
        <f t="shared" si="47"/>
        <v>40000</v>
      </c>
      <c r="T1012" s="22">
        <f>SUM(F1012*IF(E1012=_current_year,_current_month,12)-(S1012))</f>
        <v>20000</v>
      </c>
    </row>
    <row r="1013" spans="1:39" s="220" customFormat="1" ht="48" customHeight="1" x14ac:dyDescent="0.4">
      <c r="A1013" s="310"/>
      <c r="B1013" s="33" t="s">
        <v>28</v>
      </c>
      <c r="C1013" s="34"/>
      <c r="D1013" s="35"/>
      <c r="E1013" s="30">
        <v>2022</v>
      </c>
      <c r="F1013" s="27">
        <v>5000</v>
      </c>
      <c r="G1013" s="36"/>
      <c r="H1013" s="36"/>
      <c r="I1013" s="36"/>
      <c r="J1013" s="36"/>
      <c r="K1013" s="36"/>
      <c r="L1013" s="36">
        <v>30000</v>
      </c>
      <c r="M1013" s="36"/>
      <c r="N1013" s="36"/>
      <c r="O1013" s="36"/>
      <c r="P1013" s="36"/>
      <c r="Q1013" s="36"/>
      <c r="R1013" s="36"/>
      <c r="S1013" s="37">
        <f t="shared" si="47"/>
        <v>30000</v>
      </c>
      <c r="T1013" s="37">
        <f>SUM(60000-S1013)</f>
        <v>30000</v>
      </c>
      <c r="AM1013" s="250"/>
    </row>
    <row r="1014" spans="1:39" s="220" customFormat="1" ht="48.75" customHeight="1" x14ac:dyDescent="0.4">
      <c r="A1014" s="310"/>
      <c r="B1014" s="33" t="s">
        <v>28</v>
      </c>
      <c r="C1014" s="38" t="s">
        <v>52</v>
      </c>
      <c r="D1014" s="38"/>
      <c r="E1014" s="30">
        <v>2021</v>
      </c>
      <c r="F1014" s="251">
        <v>5000</v>
      </c>
      <c r="G1014" s="36"/>
      <c r="H1014" s="36"/>
      <c r="I1014" s="36"/>
      <c r="J1014" s="36"/>
      <c r="K1014" s="36"/>
      <c r="L1014" s="36"/>
      <c r="M1014" s="36"/>
      <c r="N1014" s="36"/>
      <c r="O1014" s="36"/>
      <c r="P1014" s="36"/>
      <c r="Q1014" s="36"/>
      <c r="R1014" s="36"/>
      <c r="S1014" s="252">
        <f t="shared" si="47"/>
        <v>0</v>
      </c>
      <c r="T1014" s="252">
        <f>SUM(60000-S1014)</f>
        <v>60000</v>
      </c>
      <c r="AM1014" s="250"/>
    </row>
    <row r="1015" spans="1:39" s="258" customFormat="1" ht="48.75" customHeight="1" x14ac:dyDescent="0.45">
      <c r="A1015" s="313" t="s">
        <v>167</v>
      </c>
      <c r="B1015" s="253" t="s">
        <v>28</v>
      </c>
      <c r="C1015" s="38"/>
      <c r="D1015" s="38"/>
      <c r="E1015" s="254">
        <v>2020</v>
      </c>
      <c r="F1015" s="251">
        <v>5000</v>
      </c>
      <c r="G1015" s="302"/>
      <c r="H1015" s="302"/>
      <c r="I1015" s="302"/>
      <c r="J1015" s="302"/>
      <c r="K1015" s="302"/>
      <c r="L1015" s="302"/>
      <c r="M1015" s="302"/>
      <c r="N1015" s="302"/>
      <c r="O1015" s="302"/>
      <c r="P1015" s="302"/>
      <c r="Q1015" s="302"/>
      <c r="R1015" s="302"/>
      <c r="S1015" s="252">
        <f t="shared" si="47"/>
        <v>0</v>
      </c>
      <c r="T1015" s="257">
        <f>SUM(60000-S1015)</f>
        <v>60000</v>
      </c>
      <c r="AM1015" s="259"/>
    </row>
    <row r="1016" spans="1:39" s="258" customFormat="1" ht="48.75" customHeight="1" x14ac:dyDescent="0.45">
      <c r="A1016" s="313"/>
      <c r="B1016" s="253"/>
      <c r="C1016" s="38"/>
      <c r="D1016" s="38"/>
      <c r="E1016" s="254">
        <v>2019</v>
      </c>
      <c r="F1016" s="251">
        <v>5000</v>
      </c>
      <c r="G1016" s="302"/>
      <c r="H1016" s="302"/>
      <c r="I1016" s="302"/>
      <c r="J1016" s="302"/>
      <c r="K1016" s="302"/>
      <c r="L1016" s="302"/>
      <c r="M1016" s="345"/>
      <c r="N1016" s="302"/>
      <c r="O1016" s="302"/>
      <c r="P1016" s="302"/>
      <c r="Q1016" s="302"/>
      <c r="R1016" s="302"/>
      <c r="S1016" s="252">
        <f>SUM(N1016:R1016)</f>
        <v>0</v>
      </c>
      <c r="T1016" s="257">
        <f>SUM(25000-S1016)</f>
        <v>25000</v>
      </c>
      <c r="AM1016" s="259"/>
    </row>
    <row r="1017" spans="1:39" s="258" customFormat="1" ht="48.75" customHeight="1" thickBot="1" x14ac:dyDescent="0.5">
      <c r="A1017" s="278" t="s">
        <v>59</v>
      </c>
      <c r="B1017" s="253"/>
      <c r="C1017" s="253"/>
      <c r="D1017" s="68"/>
      <c r="E1017" s="264"/>
      <c r="F1017" s="265"/>
      <c r="G1017" s="266"/>
      <c r="H1017" s="266"/>
      <c r="I1017" s="266"/>
      <c r="J1017" s="266"/>
      <c r="K1017" s="266"/>
      <c r="L1017" s="266"/>
      <c r="M1017" s="266"/>
      <c r="N1017" s="266"/>
      <c r="O1017" s="266"/>
      <c r="P1017" s="266"/>
      <c r="Q1017" s="266"/>
      <c r="R1017" s="266"/>
      <c r="S1017" s="267">
        <f>SUM(S1010:S1016)</f>
        <v>500000</v>
      </c>
      <c r="T1017" s="268">
        <f>SUM(T1010:T1016)</f>
        <v>-55000</v>
      </c>
      <c r="AM1017" s="259"/>
    </row>
    <row r="1018" spans="1:39" s="258" customFormat="1" ht="48.75" customHeight="1" x14ac:dyDescent="0.45">
      <c r="A1018" s="278"/>
      <c r="B1018" s="253"/>
      <c r="C1018" s="253"/>
      <c r="D1018" s="68"/>
      <c r="E1018" s="234"/>
      <c r="F1018" s="234"/>
      <c r="G1018" s="234"/>
      <c r="H1018" s="234"/>
      <c r="I1018" s="234"/>
      <c r="J1018" s="234"/>
      <c r="K1018" s="234"/>
      <c r="L1018" s="234"/>
      <c r="M1018" s="234"/>
      <c r="N1018" s="234"/>
      <c r="O1018" s="234"/>
      <c r="P1018" s="234"/>
      <c r="Q1018" s="234"/>
      <c r="R1018" s="234"/>
      <c r="S1018" s="344"/>
      <c r="T1018" s="344"/>
      <c r="AM1018" s="259"/>
    </row>
    <row r="1019" spans="1:39" s="245" customFormat="1" ht="59.25" customHeight="1" x14ac:dyDescent="0.5">
      <c r="A1019" s="55" t="s">
        <v>31</v>
      </c>
      <c r="B1019" s="241" t="s">
        <v>7</v>
      </c>
      <c r="C1019" s="242" t="s">
        <v>32</v>
      </c>
      <c r="D1019" s="243" t="s">
        <v>33</v>
      </c>
      <c r="E1019" s="242" t="s">
        <v>34</v>
      </c>
      <c r="F1019" s="244" t="s">
        <v>11</v>
      </c>
      <c r="G1019" s="244" t="s">
        <v>12</v>
      </c>
      <c r="H1019" s="244" t="s">
        <v>13</v>
      </c>
      <c r="I1019" s="244" t="s">
        <v>14</v>
      </c>
      <c r="J1019" s="244" t="s">
        <v>15</v>
      </c>
      <c r="K1019" s="244" t="s">
        <v>16</v>
      </c>
      <c r="L1019" s="244" t="s">
        <v>17</v>
      </c>
      <c r="M1019" s="244" t="s">
        <v>18</v>
      </c>
      <c r="N1019" s="244" t="s">
        <v>19</v>
      </c>
      <c r="O1019" s="244" t="s">
        <v>20</v>
      </c>
      <c r="P1019" s="244" t="s">
        <v>21</v>
      </c>
      <c r="Q1019" s="244" t="s">
        <v>22</v>
      </c>
      <c r="R1019" s="244" t="s">
        <v>23</v>
      </c>
      <c r="S1019" s="20" t="s">
        <v>24</v>
      </c>
      <c r="T1019" s="20" t="s">
        <v>25</v>
      </c>
      <c r="AM1019" s="246"/>
    </row>
    <row r="1020" spans="1:39" ht="51.75" customHeight="1" x14ac:dyDescent="0.25">
      <c r="A1020" s="424" t="s">
        <v>268</v>
      </c>
      <c r="B1020" s="17"/>
      <c r="C1020" s="279" t="s">
        <v>269</v>
      </c>
      <c r="D1020" s="84" t="str">
        <f>C1020</f>
        <v>BARBARA IGBA</v>
      </c>
      <c r="E1020" s="26">
        <v>2025</v>
      </c>
      <c r="F1020" s="27">
        <v>3000</v>
      </c>
      <c r="G1020" s="22"/>
      <c r="H1020" s="22">
        <v>18000</v>
      </c>
      <c r="I1020" s="22"/>
      <c r="J1020" s="22"/>
      <c r="K1020" s="22"/>
      <c r="L1020" s="22"/>
      <c r="M1020" s="22"/>
      <c r="N1020" s="22"/>
      <c r="O1020" s="425">
        <v>42000</v>
      </c>
      <c r="P1020" s="22"/>
      <c r="Q1020" s="22"/>
      <c r="R1020" s="22"/>
      <c r="S1020" s="64">
        <f>SUM(G1020:R1020)</f>
        <v>60000</v>
      </c>
      <c r="T1020" s="29">
        <f>SUM(F1020*IF(E1020=_current_year,_current_month,12)-(S1020))</f>
        <v>-24000</v>
      </c>
    </row>
    <row r="1021" spans="1:39" ht="51.75" customHeight="1" x14ac:dyDescent="0.25">
      <c r="A1021" s="424"/>
      <c r="B1021" s="17"/>
      <c r="C1021" s="279"/>
      <c r="D1021" s="84"/>
      <c r="E1021" s="30">
        <v>2024</v>
      </c>
      <c r="F1021" s="27">
        <v>3000</v>
      </c>
      <c r="G1021" s="22"/>
      <c r="H1021" s="22"/>
      <c r="I1021" s="22"/>
      <c r="J1021" s="22"/>
      <c r="K1021" s="22"/>
      <c r="L1021" s="22"/>
      <c r="M1021" s="22"/>
      <c r="N1021" s="22"/>
      <c r="O1021" s="22"/>
      <c r="P1021" s="22"/>
      <c r="Q1021" s="22"/>
      <c r="R1021" s="22"/>
      <c r="S1021" s="37">
        <f>SUM(G1021:R1021)</f>
        <v>0</v>
      </c>
      <c r="T1021" s="22">
        <f>SUM(F1021*IF(E1021=_current_year,_current_month,12)-(S1021))</f>
        <v>36000</v>
      </c>
    </row>
    <row r="1022" spans="1:39" ht="51.75" customHeight="1" x14ac:dyDescent="0.6">
      <c r="A1022" s="424"/>
      <c r="B1022" s="17"/>
      <c r="C1022" s="315" t="s">
        <v>270</v>
      </c>
      <c r="D1022" s="84"/>
      <c r="E1022" s="30">
        <v>2023</v>
      </c>
      <c r="F1022" s="27">
        <v>3000</v>
      </c>
      <c r="G1022" s="426"/>
      <c r="H1022" s="427"/>
      <c r="I1022" s="427"/>
      <c r="J1022" s="427"/>
      <c r="K1022" s="427"/>
      <c r="L1022" s="428">
        <v>18000</v>
      </c>
      <c r="N1022" s="22"/>
      <c r="O1022" s="22"/>
      <c r="P1022" s="336"/>
      <c r="Q1022" s="22"/>
      <c r="R1022" s="22"/>
      <c r="S1022" s="37">
        <f>SUM(G1022:R1022)</f>
        <v>18000</v>
      </c>
      <c r="T1022" s="22">
        <f>SUM(F1022*2)-(S1022)</f>
        <v>-12000</v>
      </c>
    </row>
    <row r="1023" spans="1:39" s="220" customFormat="1" ht="48" customHeight="1" x14ac:dyDescent="0.4">
      <c r="A1023" s="424"/>
      <c r="B1023" s="33" t="s">
        <v>28</v>
      </c>
      <c r="C1023" s="34"/>
      <c r="D1023" s="35"/>
      <c r="E1023" s="429"/>
      <c r="F1023" s="430"/>
      <c r="G1023" s="431"/>
      <c r="H1023" s="432"/>
      <c r="I1023" s="432"/>
      <c r="J1023" s="432"/>
      <c r="K1023" s="432"/>
      <c r="L1023" s="432"/>
      <c r="M1023" s="432"/>
      <c r="N1023" s="432"/>
      <c r="O1023" s="432"/>
      <c r="P1023" s="432"/>
      <c r="Q1023" s="432"/>
      <c r="R1023" s="433"/>
      <c r="S1023" s="434"/>
      <c r="T1023" s="434"/>
      <c r="AM1023" s="250"/>
    </row>
    <row r="1024" spans="1:39" s="220" customFormat="1" ht="48.75" customHeight="1" x14ac:dyDescent="0.4">
      <c r="A1024" s="424"/>
      <c r="B1024" s="33" t="s">
        <v>28</v>
      </c>
      <c r="C1024" s="38" t="s">
        <v>52</v>
      </c>
      <c r="D1024" s="38"/>
      <c r="E1024" s="429"/>
      <c r="F1024" s="430"/>
      <c r="G1024" s="435"/>
      <c r="H1024" s="104"/>
      <c r="I1024" s="104"/>
      <c r="J1024" s="104"/>
      <c r="K1024" s="104"/>
      <c r="L1024" s="104"/>
      <c r="M1024" s="104"/>
      <c r="N1024" s="104"/>
      <c r="O1024" s="104"/>
      <c r="P1024" s="104"/>
      <c r="Q1024" s="104"/>
      <c r="R1024" s="436"/>
      <c r="S1024" s="437"/>
      <c r="T1024" s="437"/>
      <c r="AM1024" s="250"/>
    </row>
    <row r="1025" spans="1:39" s="258" customFormat="1" ht="48.75" customHeight="1" x14ac:dyDescent="0.45">
      <c r="A1025" s="313" t="s">
        <v>167</v>
      </c>
      <c r="B1025" s="253" t="s">
        <v>28</v>
      </c>
      <c r="C1025" s="38"/>
      <c r="D1025" s="38"/>
      <c r="E1025" s="429"/>
      <c r="F1025" s="430"/>
      <c r="G1025" s="435"/>
      <c r="H1025" s="104"/>
      <c r="I1025" s="104"/>
      <c r="J1025" s="104"/>
      <c r="K1025" s="104"/>
      <c r="L1025" s="104"/>
      <c r="M1025" s="104"/>
      <c r="N1025" s="104"/>
      <c r="O1025" s="104"/>
      <c r="P1025" s="104"/>
      <c r="Q1025" s="104"/>
      <c r="R1025" s="436"/>
      <c r="S1025" s="437"/>
      <c r="T1025" s="437"/>
      <c r="AM1025" s="259"/>
    </row>
    <row r="1026" spans="1:39" s="258" customFormat="1" ht="48.75" customHeight="1" x14ac:dyDescent="0.45">
      <c r="A1026" s="313"/>
      <c r="B1026" s="253"/>
      <c r="C1026" s="38"/>
      <c r="D1026" s="38"/>
      <c r="E1026" s="429"/>
      <c r="F1026" s="430"/>
      <c r="G1026" s="438"/>
      <c r="H1026" s="439"/>
      <c r="I1026" s="439"/>
      <c r="J1026" s="439"/>
      <c r="K1026" s="439"/>
      <c r="L1026" s="439"/>
      <c r="M1026" s="439"/>
      <c r="N1026" s="439"/>
      <c r="O1026" s="439"/>
      <c r="P1026" s="439"/>
      <c r="Q1026" s="439"/>
      <c r="R1026" s="440"/>
      <c r="S1026" s="441"/>
      <c r="T1026" s="441"/>
      <c r="AM1026" s="259"/>
    </row>
    <row r="1027" spans="1:39" s="258" customFormat="1" ht="48.75" customHeight="1" thickBot="1" x14ac:dyDescent="0.5">
      <c r="A1027" s="278" t="s">
        <v>59</v>
      </c>
      <c r="B1027" s="253"/>
      <c r="C1027" s="253"/>
      <c r="D1027" s="68"/>
      <c r="E1027" s="264"/>
      <c r="F1027" s="265"/>
      <c r="G1027" s="266"/>
      <c r="H1027" s="266"/>
      <c r="I1027" s="266"/>
      <c r="J1027" s="266"/>
      <c r="K1027" s="266"/>
      <c r="L1027" s="266"/>
      <c r="M1027" s="266"/>
      <c r="N1027" s="266"/>
      <c r="O1027" s="266"/>
      <c r="P1027" s="266"/>
      <c r="Q1027" s="266"/>
      <c r="R1027" s="266"/>
      <c r="S1027" s="267">
        <f>SUM(S1020:S1026)</f>
        <v>78000</v>
      </c>
      <c r="T1027" s="268">
        <f>SUM(T1020:T1026)</f>
        <v>0</v>
      </c>
      <c r="AM1027" s="259"/>
    </row>
    <row r="1028" spans="1:39" s="258" customFormat="1" ht="48.75" customHeight="1" x14ac:dyDescent="0.45">
      <c r="A1028" s="278"/>
      <c r="B1028" s="253"/>
      <c r="C1028" s="253"/>
      <c r="D1028" s="68"/>
      <c r="E1028" s="234"/>
      <c r="F1028" s="234"/>
      <c r="G1028" s="234"/>
      <c r="H1028" s="234"/>
      <c r="I1028" s="234"/>
      <c r="J1028" s="234"/>
      <c r="K1028" s="234"/>
      <c r="L1028" s="234"/>
      <c r="M1028" s="234"/>
      <c r="N1028" s="234"/>
      <c r="O1028" s="234"/>
      <c r="P1028" s="234"/>
      <c r="Q1028" s="234"/>
      <c r="R1028" s="234"/>
      <c r="S1028" s="344"/>
      <c r="T1028" s="344"/>
      <c r="AM1028" s="259"/>
    </row>
    <row r="1029" spans="1:39" s="245" customFormat="1" ht="59.25" customHeight="1" x14ac:dyDescent="0.5">
      <c r="A1029" s="55" t="s">
        <v>31</v>
      </c>
      <c r="B1029" s="241" t="s">
        <v>7</v>
      </c>
      <c r="C1029" s="242" t="s">
        <v>32</v>
      </c>
      <c r="D1029" s="243" t="s">
        <v>33</v>
      </c>
      <c r="E1029" s="242" t="s">
        <v>34</v>
      </c>
      <c r="F1029" s="244" t="s">
        <v>11</v>
      </c>
      <c r="G1029" s="244" t="s">
        <v>12</v>
      </c>
      <c r="H1029" s="244" t="s">
        <v>13</v>
      </c>
      <c r="I1029" s="244" t="s">
        <v>14</v>
      </c>
      <c r="J1029" s="244" t="s">
        <v>15</v>
      </c>
      <c r="K1029" s="244" t="s">
        <v>16</v>
      </c>
      <c r="L1029" s="244" t="s">
        <v>17</v>
      </c>
      <c r="M1029" s="244" t="s">
        <v>18</v>
      </c>
      <c r="N1029" s="244" t="s">
        <v>19</v>
      </c>
      <c r="O1029" s="244" t="s">
        <v>20</v>
      </c>
      <c r="P1029" s="244" t="s">
        <v>21</v>
      </c>
      <c r="Q1029" s="244" t="s">
        <v>22</v>
      </c>
      <c r="R1029" s="244" t="s">
        <v>23</v>
      </c>
      <c r="S1029" s="20" t="s">
        <v>24</v>
      </c>
      <c r="T1029" s="20" t="s">
        <v>25</v>
      </c>
      <c r="AM1029" s="246"/>
    </row>
    <row r="1030" spans="1:39" ht="51.75" customHeight="1" x14ac:dyDescent="0.25">
      <c r="A1030" s="310" t="s">
        <v>271</v>
      </c>
      <c r="B1030" s="17"/>
      <c r="C1030" s="279" t="s">
        <v>272</v>
      </c>
      <c r="D1030" s="19"/>
      <c r="E1030" s="26">
        <v>2025</v>
      </c>
      <c r="F1030" s="27">
        <v>10000</v>
      </c>
      <c r="G1030" s="22"/>
      <c r="H1030" s="22"/>
      <c r="I1030" s="22"/>
      <c r="J1030" s="22"/>
      <c r="K1030" s="442">
        <v>120000</v>
      </c>
      <c r="L1030" s="22"/>
      <c r="M1030" s="22"/>
      <c r="N1030" s="22"/>
      <c r="O1030" s="22"/>
      <c r="P1030" s="22"/>
      <c r="Q1030" s="22"/>
      <c r="R1030" s="22"/>
      <c r="S1030" s="64">
        <f t="shared" ref="S1030" si="48">SUM(G1030:R1030)</f>
        <v>120000</v>
      </c>
      <c r="T1030" s="29">
        <f>SUM(F1030*IF(E1030=_current_year,_current_month,12)-(S1030))</f>
        <v>0</v>
      </c>
    </row>
    <row r="1031" spans="1:39" ht="51.75" customHeight="1" x14ac:dyDescent="0.25">
      <c r="A1031" s="310"/>
      <c r="B1031" s="17"/>
      <c r="C1031" s="279"/>
      <c r="D1031" s="19"/>
      <c r="E1031" s="30"/>
      <c r="F1031" s="27"/>
      <c r="G1031" s="321" t="s">
        <v>273</v>
      </c>
      <c r="H1031" s="322"/>
      <c r="I1031" s="322"/>
      <c r="J1031" s="322"/>
      <c r="K1031" s="322"/>
      <c r="L1031" s="322"/>
      <c r="M1031" s="322"/>
      <c r="N1031" s="322"/>
      <c r="O1031" s="322"/>
      <c r="P1031" s="322"/>
      <c r="Q1031" s="322"/>
      <c r="R1031" s="323"/>
      <c r="S1031" s="37">
        <v>150000</v>
      </c>
      <c r="T1031" s="159">
        <f>150000 - S1031</f>
        <v>0</v>
      </c>
    </row>
    <row r="1032" spans="1:39" ht="51.75" customHeight="1" x14ac:dyDescent="0.25">
      <c r="A1032" s="310"/>
      <c r="B1032" s="17"/>
      <c r="C1032" s="443" t="s">
        <v>274</v>
      </c>
      <c r="D1032" s="19"/>
      <c r="E1032" s="444" t="s">
        <v>275</v>
      </c>
      <c r="F1032" s="325"/>
      <c r="G1032" s="325"/>
      <c r="H1032" s="325"/>
      <c r="I1032" s="325"/>
      <c r="J1032" s="325"/>
      <c r="K1032" s="325"/>
      <c r="L1032" s="325"/>
      <c r="M1032" s="325"/>
      <c r="N1032" s="325"/>
      <c r="O1032" s="325"/>
      <c r="P1032" s="325"/>
      <c r="Q1032" s="325"/>
      <c r="R1032" s="325"/>
      <c r="S1032" s="325"/>
      <c r="T1032" s="326"/>
    </row>
    <row r="1033" spans="1:39" s="220" customFormat="1" ht="48" customHeight="1" x14ac:dyDescent="0.4">
      <c r="A1033" s="310"/>
      <c r="B1033" s="33" t="s">
        <v>28</v>
      </c>
      <c r="C1033" s="445" t="s">
        <v>276</v>
      </c>
      <c r="D1033" s="35"/>
      <c r="E1033" s="327"/>
      <c r="F1033" s="328"/>
      <c r="G1033" s="328"/>
      <c r="H1033" s="328"/>
      <c r="I1033" s="328"/>
      <c r="J1033" s="328"/>
      <c r="K1033" s="328"/>
      <c r="L1033" s="328"/>
      <c r="M1033" s="328"/>
      <c r="N1033" s="328"/>
      <c r="O1033" s="328"/>
      <c r="P1033" s="328"/>
      <c r="Q1033" s="328"/>
      <c r="R1033" s="328"/>
      <c r="S1033" s="328"/>
      <c r="T1033" s="329"/>
      <c r="AM1033" s="250"/>
    </row>
    <row r="1034" spans="1:39" s="220" customFormat="1" ht="48.75" customHeight="1" x14ac:dyDescent="0.4">
      <c r="A1034" s="310"/>
      <c r="B1034" s="33" t="s">
        <v>28</v>
      </c>
      <c r="C1034" s="38" t="s">
        <v>52</v>
      </c>
      <c r="D1034" s="38"/>
      <c r="E1034" s="327"/>
      <c r="F1034" s="328"/>
      <c r="G1034" s="328"/>
      <c r="H1034" s="328"/>
      <c r="I1034" s="328"/>
      <c r="J1034" s="328"/>
      <c r="K1034" s="328"/>
      <c r="L1034" s="328"/>
      <c r="M1034" s="328"/>
      <c r="N1034" s="328"/>
      <c r="O1034" s="328"/>
      <c r="P1034" s="328"/>
      <c r="Q1034" s="328"/>
      <c r="R1034" s="328"/>
      <c r="S1034" s="328"/>
      <c r="T1034" s="329"/>
      <c r="AM1034" s="250"/>
    </row>
    <row r="1035" spans="1:39" s="258" customFormat="1" ht="48.75" customHeight="1" x14ac:dyDescent="0.45">
      <c r="A1035" s="313" t="s">
        <v>167</v>
      </c>
      <c r="B1035" s="253" t="s">
        <v>28</v>
      </c>
      <c r="C1035" s="38"/>
      <c r="D1035" s="38"/>
      <c r="E1035" s="327"/>
      <c r="F1035" s="328"/>
      <c r="G1035" s="328"/>
      <c r="H1035" s="328"/>
      <c r="I1035" s="328"/>
      <c r="J1035" s="328"/>
      <c r="K1035" s="328"/>
      <c r="L1035" s="328"/>
      <c r="M1035" s="328"/>
      <c r="N1035" s="328"/>
      <c r="O1035" s="328"/>
      <c r="P1035" s="328"/>
      <c r="Q1035" s="328"/>
      <c r="R1035" s="328"/>
      <c r="S1035" s="328"/>
      <c r="T1035" s="329"/>
      <c r="AM1035" s="259"/>
    </row>
    <row r="1036" spans="1:39" s="258" customFormat="1" ht="48.75" customHeight="1" x14ac:dyDescent="0.45">
      <c r="A1036" s="313"/>
      <c r="B1036" s="253"/>
      <c r="C1036" s="38"/>
      <c r="D1036" s="38"/>
      <c r="E1036" s="327"/>
      <c r="F1036" s="328"/>
      <c r="G1036" s="328"/>
      <c r="H1036" s="328"/>
      <c r="I1036" s="328"/>
      <c r="J1036" s="328"/>
      <c r="K1036" s="328"/>
      <c r="L1036" s="328"/>
      <c r="M1036" s="328"/>
      <c r="N1036" s="328"/>
      <c r="O1036" s="328"/>
      <c r="P1036" s="328"/>
      <c r="Q1036" s="328"/>
      <c r="R1036" s="328"/>
      <c r="S1036" s="328"/>
      <c r="T1036" s="329"/>
      <c r="AM1036" s="259"/>
    </row>
    <row r="1037" spans="1:39" s="258" customFormat="1" ht="48.75" customHeight="1" x14ac:dyDescent="0.45">
      <c r="A1037" s="446"/>
      <c r="B1037" s="253"/>
      <c r="C1037" s="38"/>
      <c r="D1037" s="38"/>
      <c r="E1037" s="330"/>
      <c r="F1037" s="331"/>
      <c r="G1037" s="331"/>
      <c r="H1037" s="331"/>
      <c r="I1037" s="331"/>
      <c r="J1037" s="331"/>
      <c r="K1037" s="331"/>
      <c r="L1037" s="331"/>
      <c r="M1037" s="331"/>
      <c r="N1037" s="331"/>
      <c r="O1037" s="331"/>
      <c r="P1037" s="331"/>
      <c r="Q1037" s="331"/>
      <c r="R1037" s="331"/>
      <c r="S1037" s="331"/>
      <c r="T1037" s="332"/>
      <c r="AM1037" s="259"/>
    </row>
    <row r="1038" spans="1:39" s="258" customFormat="1" ht="48.75" customHeight="1" thickBot="1" x14ac:dyDescent="0.5">
      <c r="A1038" s="278"/>
      <c r="B1038" s="253"/>
      <c r="C1038" s="253"/>
      <c r="D1038" s="68"/>
      <c r="E1038" s="264"/>
      <c r="F1038" s="265"/>
      <c r="G1038" s="266"/>
      <c r="H1038" s="266"/>
      <c r="I1038" s="266"/>
      <c r="J1038" s="266"/>
      <c r="K1038" s="266"/>
      <c r="L1038" s="266"/>
      <c r="M1038" s="266"/>
      <c r="N1038" s="266"/>
      <c r="O1038" s="266"/>
      <c r="P1038" s="266"/>
      <c r="Q1038" s="266"/>
      <c r="R1038" s="266"/>
      <c r="S1038" s="267">
        <f>SUM(S1030:S1037)</f>
        <v>270000</v>
      </c>
      <c r="T1038" s="268">
        <f>SUM(T1030:T1037)</f>
        <v>0</v>
      </c>
      <c r="AM1038" s="259"/>
    </row>
    <row r="1039" spans="1:39" s="258" customFormat="1" ht="48.75" customHeight="1" x14ac:dyDescent="0.45">
      <c r="A1039" s="278"/>
      <c r="B1039" s="253"/>
      <c r="C1039" s="253"/>
      <c r="D1039" s="68"/>
      <c r="E1039" s="253"/>
      <c r="F1039" s="253"/>
      <c r="G1039" s="253"/>
      <c r="H1039" s="253"/>
      <c r="I1039" s="253"/>
      <c r="J1039" s="253"/>
      <c r="K1039" s="253"/>
      <c r="L1039" s="253"/>
      <c r="M1039" s="253"/>
      <c r="N1039" s="253"/>
      <c r="O1039" s="253"/>
      <c r="P1039" s="253"/>
      <c r="Q1039" s="253"/>
      <c r="R1039" s="253"/>
      <c r="S1039" s="269"/>
      <c r="T1039" s="269"/>
      <c r="AM1039" s="259"/>
    </row>
    <row r="1040" spans="1:39" s="245" customFormat="1" ht="59.25" customHeight="1" x14ac:dyDescent="0.5">
      <c r="A1040" s="55" t="s">
        <v>31</v>
      </c>
      <c r="B1040" s="241" t="s">
        <v>7</v>
      </c>
      <c r="C1040" s="242" t="s">
        <v>32</v>
      </c>
      <c r="D1040" s="243" t="s">
        <v>33</v>
      </c>
      <c r="E1040" s="242" t="s">
        <v>34</v>
      </c>
      <c r="F1040" s="244" t="s">
        <v>11</v>
      </c>
      <c r="G1040" s="244" t="s">
        <v>12</v>
      </c>
      <c r="H1040" s="244" t="s">
        <v>13</v>
      </c>
      <c r="I1040" s="244" t="s">
        <v>14</v>
      </c>
      <c r="J1040" s="244" t="s">
        <v>15</v>
      </c>
      <c r="K1040" s="244" t="s">
        <v>16</v>
      </c>
      <c r="L1040" s="244" t="s">
        <v>17</v>
      </c>
      <c r="M1040" s="244" t="s">
        <v>18</v>
      </c>
      <c r="N1040" s="244" t="s">
        <v>19</v>
      </c>
      <c r="O1040" s="244" t="s">
        <v>20</v>
      </c>
      <c r="P1040" s="244" t="s">
        <v>21</v>
      </c>
      <c r="Q1040" s="244" t="s">
        <v>22</v>
      </c>
      <c r="R1040" s="244" t="s">
        <v>23</v>
      </c>
      <c r="S1040" s="20" t="s">
        <v>24</v>
      </c>
      <c r="T1040" s="20" t="s">
        <v>25</v>
      </c>
      <c r="AM1040" s="246"/>
    </row>
    <row r="1041" spans="1:39" ht="51.75" customHeight="1" x14ac:dyDescent="0.25">
      <c r="A1041" s="307">
        <v>30</v>
      </c>
      <c r="B1041" s="17"/>
      <c r="C1041" s="447" t="s">
        <v>124</v>
      </c>
      <c r="D1041" s="19"/>
      <c r="E1041" s="26">
        <v>2025</v>
      </c>
      <c r="F1041" s="27"/>
      <c r="G1041" s="22"/>
      <c r="H1041" s="22"/>
      <c r="I1041" s="22"/>
      <c r="J1041" s="22"/>
      <c r="K1041" s="22"/>
      <c r="L1041" s="22"/>
      <c r="M1041" s="22"/>
      <c r="N1041" s="22"/>
      <c r="O1041" s="22"/>
      <c r="P1041" s="22"/>
      <c r="Q1041" s="22"/>
      <c r="R1041" s="22"/>
      <c r="S1041" s="64">
        <f>SUM(G1041:R1041)</f>
        <v>0</v>
      </c>
      <c r="T1041" s="29">
        <f>SUM(F1041*IF(E1041=_current_year,_current_month,12)-(S1041))</f>
        <v>0</v>
      </c>
    </row>
    <row r="1042" spans="1:39" s="220" customFormat="1" ht="48" customHeight="1" x14ac:dyDescent="0.4">
      <c r="A1042" s="307"/>
      <c r="B1042" s="33" t="s">
        <v>28</v>
      </c>
      <c r="C1042" s="34"/>
      <c r="D1042" s="35"/>
      <c r="E1042" s="30"/>
      <c r="F1042" s="27"/>
      <c r="G1042" s="36"/>
      <c r="H1042" s="36"/>
      <c r="I1042" s="36"/>
      <c r="J1042" s="36"/>
      <c r="K1042" s="36"/>
      <c r="L1042" s="36"/>
      <c r="M1042" s="36"/>
      <c r="N1042" s="36"/>
      <c r="O1042" s="36"/>
      <c r="P1042" s="36"/>
      <c r="Q1042" s="36"/>
      <c r="R1042" s="36"/>
      <c r="S1042" s="37"/>
      <c r="T1042" s="37"/>
      <c r="AM1042" s="250"/>
    </row>
    <row r="1043" spans="1:39" s="220" customFormat="1" ht="48.75" customHeight="1" x14ac:dyDescent="0.4">
      <c r="A1043" s="313" t="s">
        <v>167</v>
      </c>
      <c r="B1043" s="33" t="s">
        <v>28</v>
      </c>
      <c r="C1043" s="38" t="s">
        <v>52</v>
      </c>
      <c r="D1043" s="38"/>
      <c r="E1043" s="30"/>
      <c r="F1043" s="251"/>
      <c r="G1043" s="36"/>
      <c r="H1043" s="36"/>
      <c r="I1043" s="36"/>
      <c r="J1043" s="36"/>
      <c r="K1043" s="36"/>
      <c r="L1043" s="36"/>
      <c r="M1043" s="36"/>
      <c r="N1043" s="36"/>
      <c r="O1043" s="36"/>
      <c r="P1043" s="36"/>
      <c r="Q1043" s="36"/>
      <c r="R1043" s="36"/>
      <c r="S1043" s="252"/>
      <c r="T1043" s="252"/>
      <c r="AM1043" s="250"/>
    </row>
    <row r="1044" spans="1:39" s="258" customFormat="1" ht="48.75" customHeight="1" x14ac:dyDescent="0.45">
      <c r="A1044" s="313"/>
      <c r="B1044" s="253" t="s">
        <v>28</v>
      </c>
      <c r="C1044" s="38"/>
      <c r="D1044" s="38"/>
      <c r="E1044" s="254"/>
      <c r="F1044" s="251"/>
      <c r="G1044" s="302"/>
      <c r="H1044" s="302"/>
      <c r="I1044" s="302"/>
      <c r="J1044" s="302"/>
      <c r="K1044" s="302"/>
      <c r="L1044" s="302"/>
      <c r="M1044" s="302"/>
      <c r="N1044" s="302"/>
      <c r="O1044" s="302"/>
      <c r="P1044" s="302"/>
      <c r="Q1044" s="302"/>
      <c r="R1044" s="302"/>
      <c r="S1044" s="252"/>
      <c r="T1044" s="257"/>
      <c r="AM1044" s="259"/>
    </row>
    <row r="1045" spans="1:39" s="258" customFormat="1" ht="48.75" customHeight="1" x14ac:dyDescent="0.75">
      <c r="A1045" s="409"/>
      <c r="B1045" s="253"/>
      <c r="C1045" s="38"/>
      <c r="D1045" s="38"/>
      <c r="E1045" s="254"/>
      <c r="F1045" s="251"/>
      <c r="G1045" s="302"/>
      <c r="H1045" s="302"/>
      <c r="I1045" s="302"/>
      <c r="J1045" s="302"/>
      <c r="K1045" s="302"/>
      <c r="L1045" s="302"/>
      <c r="M1045" s="302"/>
      <c r="N1045" s="302"/>
      <c r="O1045" s="302"/>
      <c r="P1045" s="302"/>
      <c r="Q1045" s="302"/>
      <c r="R1045" s="302"/>
      <c r="S1045" s="252"/>
      <c r="T1045" s="257"/>
      <c r="AM1045" s="259"/>
    </row>
    <row r="1046" spans="1:39" s="258" customFormat="1" ht="48.75" customHeight="1" thickBot="1" x14ac:dyDescent="0.5">
      <c r="A1046" s="278"/>
      <c r="B1046" s="253"/>
      <c r="C1046" s="253"/>
      <c r="D1046" s="68"/>
      <c r="E1046" s="264"/>
      <c r="F1046" s="265"/>
      <c r="G1046" s="266"/>
      <c r="H1046" s="266"/>
      <c r="I1046" s="266"/>
      <c r="J1046" s="266"/>
      <c r="K1046" s="266"/>
      <c r="L1046" s="266"/>
      <c r="M1046" s="266"/>
      <c r="N1046" s="266"/>
      <c r="O1046" s="266"/>
      <c r="P1046" s="266"/>
      <c r="Q1046" s="266"/>
      <c r="R1046" s="266"/>
      <c r="S1046" s="267">
        <f>SUM(S1041:S1045)</f>
        <v>0</v>
      </c>
      <c r="T1046" s="268">
        <f>SUM(T1041:T1045)</f>
        <v>0</v>
      </c>
      <c r="AM1046" s="259"/>
    </row>
    <row r="1047" spans="1:39" s="258" customFormat="1" ht="48.75" customHeight="1" x14ac:dyDescent="0.45">
      <c r="A1047" s="278"/>
      <c r="B1047" s="253"/>
      <c r="C1047" s="253"/>
      <c r="D1047" s="68"/>
      <c r="E1047" s="264"/>
      <c r="F1047" s="264"/>
      <c r="G1047" s="276"/>
      <c r="H1047" s="276"/>
      <c r="I1047" s="276"/>
      <c r="J1047" s="276"/>
      <c r="K1047" s="276"/>
      <c r="L1047" s="276"/>
      <c r="M1047" s="276"/>
      <c r="N1047" s="276"/>
      <c r="O1047" s="276"/>
      <c r="P1047" s="276"/>
      <c r="Q1047" s="276"/>
      <c r="R1047" s="276"/>
      <c r="S1047" s="286"/>
      <c r="T1047" s="286"/>
      <c r="AM1047" s="259"/>
    </row>
    <row r="1048" spans="1:39" s="245" customFormat="1" ht="61.5" customHeight="1" x14ac:dyDescent="0.5">
      <c r="A1048" s="55" t="s">
        <v>31</v>
      </c>
      <c r="B1048" s="241" t="s">
        <v>7</v>
      </c>
      <c r="C1048" s="242" t="s">
        <v>32</v>
      </c>
      <c r="D1048" s="243" t="s">
        <v>33</v>
      </c>
      <c r="E1048" s="242" t="s">
        <v>34</v>
      </c>
      <c r="F1048" s="244" t="s">
        <v>11</v>
      </c>
      <c r="G1048" s="244" t="s">
        <v>12</v>
      </c>
      <c r="H1048" s="244" t="s">
        <v>13</v>
      </c>
      <c r="I1048" s="244" t="s">
        <v>14</v>
      </c>
      <c r="J1048" s="244" t="s">
        <v>15</v>
      </c>
      <c r="K1048" s="244" t="s">
        <v>16</v>
      </c>
      <c r="L1048" s="244" t="s">
        <v>17</v>
      </c>
      <c r="M1048" s="244" t="s">
        <v>18</v>
      </c>
      <c r="N1048" s="244" t="s">
        <v>19</v>
      </c>
      <c r="O1048" s="244" t="s">
        <v>20</v>
      </c>
      <c r="P1048" s="244" t="s">
        <v>21</v>
      </c>
      <c r="Q1048" s="244" t="s">
        <v>22</v>
      </c>
      <c r="R1048" s="244" t="s">
        <v>23</v>
      </c>
      <c r="S1048" s="20" t="s">
        <v>24</v>
      </c>
      <c r="T1048" s="20" t="s">
        <v>25</v>
      </c>
      <c r="AM1048" s="246"/>
    </row>
    <row r="1049" spans="1:39" ht="51.75" customHeight="1" x14ac:dyDescent="0.25">
      <c r="A1049" s="54"/>
      <c r="B1049" s="17"/>
      <c r="C1049" s="312" t="s">
        <v>277</v>
      </c>
      <c r="D1049" s="19"/>
      <c r="E1049" s="26">
        <v>2025</v>
      </c>
      <c r="F1049" s="251">
        <v>5000</v>
      </c>
      <c r="G1049" s="22"/>
      <c r="H1049" s="22"/>
      <c r="I1049" s="22">
        <v>39000</v>
      </c>
      <c r="J1049" s="22"/>
      <c r="K1049" s="22"/>
      <c r="L1049" s="22"/>
      <c r="M1049" s="22"/>
      <c r="N1049" s="22"/>
      <c r="O1049" s="22"/>
      <c r="P1049" s="22"/>
      <c r="Q1049" s="22"/>
      <c r="R1049" s="22"/>
      <c r="S1049" s="64">
        <f t="shared" ref="S1049:S1059" si="49">SUM(G1049:R1049)</f>
        <v>39000</v>
      </c>
      <c r="T1049" s="29">
        <f>SUM(F1049*IF(E1049=_current_year,_current_month,12)-(S1049))</f>
        <v>21000</v>
      </c>
    </row>
    <row r="1050" spans="1:39" ht="51.75" customHeight="1" x14ac:dyDescent="0.25">
      <c r="A1050" s="310" t="s">
        <v>278</v>
      </c>
      <c r="B1050" s="17"/>
      <c r="C1050" s="315" t="s">
        <v>279</v>
      </c>
      <c r="D1050" s="19"/>
      <c r="E1050" s="30">
        <v>2024</v>
      </c>
      <c r="F1050" s="251">
        <v>3000</v>
      </c>
      <c r="G1050" s="22"/>
      <c r="H1050" s="22"/>
      <c r="I1050" s="22"/>
      <c r="J1050" s="22">
        <v>110000</v>
      </c>
      <c r="K1050" s="22"/>
      <c r="L1050" s="22"/>
      <c r="M1050" s="22"/>
      <c r="N1050" s="22"/>
      <c r="O1050" s="22"/>
      <c r="P1050" s="22"/>
      <c r="Q1050" s="22"/>
      <c r="R1050" s="22"/>
      <c r="S1050" s="37">
        <f t="shared" si="49"/>
        <v>110000</v>
      </c>
      <c r="T1050" s="22">
        <f>SUM(F1050*IF(E1050=_current_year,_current_month,12)-(S1050))</f>
        <v>-74000</v>
      </c>
    </row>
    <row r="1051" spans="1:39" ht="51.75" customHeight="1" x14ac:dyDescent="0.6">
      <c r="A1051" s="310"/>
      <c r="B1051" s="17"/>
      <c r="D1051" s="19"/>
      <c r="E1051" s="30">
        <v>2023</v>
      </c>
      <c r="F1051" s="251">
        <v>3000</v>
      </c>
      <c r="G1051" s="22"/>
      <c r="H1051" s="22"/>
      <c r="I1051" s="22"/>
      <c r="K1051" s="22"/>
      <c r="L1051" s="22"/>
      <c r="M1051" s="22"/>
      <c r="N1051" s="22"/>
      <c r="O1051" s="22"/>
      <c r="P1051" s="22"/>
      <c r="Q1051" s="22"/>
      <c r="R1051" s="22"/>
      <c r="S1051" s="37">
        <f t="shared" si="49"/>
        <v>0</v>
      </c>
      <c r="T1051" s="22">
        <f>SUM(F1051*IF(E1051=_current_year,_current_month,12)-(S1051))</f>
        <v>36000</v>
      </c>
    </row>
    <row r="1052" spans="1:39" s="220" customFormat="1" ht="48" customHeight="1" x14ac:dyDescent="0.4">
      <c r="A1052" s="310"/>
      <c r="B1052" s="33" t="s">
        <v>28</v>
      </c>
      <c r="C1052" s="34"/>
      <c r="D1052" s="35"/>
      <c r="E1052" s="30">
        <v>2022</v>
      </c>
      <c r="F1052" s="251">
        <v>3000</v>
      </c>
      <c r="G1052" s="36"/>
      <c r="H1052" s="36"/>
      <c r="I1052" s="36"/>
      <c r="J1052" s="36"/>
      <c r="K1052" s="36"/>
      <c r="L1052" s="36"/>
      <c r="M1052" s="36"/>
      <c r="N1052" s="36"/>
      <c r="O1052" s="36"/>
      <c r="P1052" s="36"/>
      <c r="Q1052" s="36"/>
      <c r="R1052" s="36"/>
      <c r="S1052" s="37">
        <f t="shared" si="49"/>
        <v>0</v>
      </c>
      <c r="T1052" s="37">
        <f t="shared" ref="T1052:T1059" si="50">SUM(36000-S1052)</f>
        <v>36000</v>
      </c>
      <c r="AM1052" s="250"/>
    </row>
    <row r="1053" spans="1:39" s="220" customFormat="1" ht="48.75" customHeight="1" x14ac:dyDescent="0.4">
      <c r="A1053" s="313" t="s">
        <v>167</v>
      </c>
      <c r="B1053" s="33" t="s">
        <v>28</v>
      </c>
      <c r="C1053" s="38" t="s">
        <v>52</v>
      </c>
      <c r="D1053" s="38"/>
      <c r="E1053" s="30">
        <v>2021</v>
      </c>
      <c r="F1053" s="251">
        <v>3000</v>
      </c>
      <c r="G1053" s="36"/>
      <c r="H1053" s="36"/>
      <c r="I1053" s="36"/>
      <c r="J1053" s="36"/>
      <c r="K1053" s="36">
        <v>20000</v>
      </c>
      <c r="L1053" s="36"/>
      <c r="M1053" s="36"/>
      <c r="N1053" s="36"/>
      <c r="O1053" s="36"/>
      <c r="P1053" s="36">
        <v>15000</v>
      </c>
      <c r="Q1053" s="36"/>
      <c r="R1053" s="36"/>
      <c r="S1053" s="252">
        <f t="shared" si="49"/>
        <v>35000</v>
      </c>
      <c r="T1053" s="252">
        <f t="shared" si="50"/>
        <v>1000</v>
      </c>
      <c r="AM1053" s="250"/>
    </row>
    <row r="1054" spans="1:39" s="258" customFormat="1" ht="65.25" customHeight="1" x14ac:dyDescent="0.45">
      <c r="A1054" s="313"/>
      <c r="B1054" s="253" t="s">
        <v>93</v>
      </c>
      <c r="C1054" s="38"/>
      <c r="D1054" s="38"/>
      <c r="E1054" s="254">
        <v>2020</v>
      </c>
      <c r="F1054" s="251">
        <v>3000</v>
      </c>
      <c r="G1054" s="302"/>
      <c r="H1054" s="302"/>
      <c r="I1054" s="302"/>
      <c r="J1054" s="302"/>
      <c r="K1054" s="302">
        <v>50000</v>
      </c>
      <c r="L1054" s="302"/>
      <c r="M1054" s="302"/>
      <c r="N1054" s="302"/>
      <c r="O1054" s="302"/>
      <c r="P1054" s="302">
        <v>20000</v>
      </c>
      <c r="Q1054" s="302"/>
      <c r="R1054" s="302"/>
      <c r="S1054" s="252">
        <f t="shared" si="49"/>
        <v>70000</v>
      </c>
      <c r="T1054" s="257">
        <f t="shared" si="50"/>
        <v>-34000</v>
      </c>
      <c r="AM1054" s="259"/>
    </row>
    <row r="1055" spans="1:39" s="258" customFormat="1" ht="48.75" customHeight="1" x14ac:dyDescent="0.45">
      <c r="A1055" s="311"/>
      <c r="B1055" s="253"/>
      <c r="C1055" s="38"/>
      <c r="D1055" s="38"/>
      <c r="E1055" s="254">
        <v>2019</v>
      </c>
      <c r="F1055" s="251">
        <v>3000</v>
      </c>
      <c r="G1055" s="302"/>
      <c r="H1055" s="302"/>
      <c r="I1055" s="302"/>
      <c r="J1055" s="302"/>
      <c r="K1055" s="302"/>
      <c r="L1055" s="302"/>
      <c r="M1055" s="302"/>
      <c r="N1055" s="302"/>
      <c r="O1055" s="302"/>
      <c r="P1055" s="302">
        <v>15000</v>
      </c>
      <c r="Q1055" s="302"/>
      <c r="R1055" s="302"/>
      <c r="S1055" s="252">
        <f t="shared" si="49"/>
        <v>15000</v>
      </c>
      <c r="T1055" s="257">
        <f t="shared" si="50"/>
        <v>21000</v>
      </c>
      <c r="AM1055" s="259"/>
    </row>
    <row r="1056" spans="1:39" s="258" customFormat="1" ht="48.75" customHeight="1" x14ac:dyDescent="0.45">
      <c r="A1056" s="311"/>
      <c r="B1056" s="253"/>
      <c r="C1056" s="38"/>
      <c r="D1056" s="38"/>
      <c r="E1056" s="254">
        <v>2018</v>
      </c>
      <c r="F1056" s="251">
        <v>3000</v>
      </c>
      <c r="G1056" s="302"/>
      <c r="H1056" s="302"/>
      <c r="I1056" s="302"/>
      <c r="J1056" s="302"/>
      <c r="K1056" s="302"/>
      <c r="L1056" s="302"/>
      <c r="M1056" s="302"/>
      <c r="N1056" s="302"/>
      <c r="O1056" s="302"/>
      <c r="P1056" s="302"/>
      <c r="Q1056" s="302"/>
      <c r="R1056" s="302"/>
      <c r="S1056" s="252">
        <f t="shared" si="49"/>
        <v>0</v>
      </c>
      <c r="T1056" s="257">
        <f t="shared" si="50"/>
        <v>36000</v>
      </c>
      <c r="AM1056" s="259"/>
    </row>
    <row r="1057" spans="1:39" s="258" customFormat="1" ht="48.75" customHeight="1" x14ac:dyDescent="0.75">
      <c r="A1057" s="409"/>
      <c r="B1057" s="253"/>
      <c r="C1057" s="38"/>
      <c r="D1057" s="38"/>
      <c r="E1057" s="254">
        <v>2017</v>
      </c>
      <c r="F1057" s="251">
        <v>3000</v>
      </c>
      <c r="G1057" s="260">
        <v>3000</v>
      </c>
      <c r="H1057" s="260">
        <v>3000</v>
      </c>
      <c r="I1057" s="260">
        <v>3000</v>
      </c>
      <c r="J1057" s="260">
        <v>3000</v>
      </c>
      <c r="K1057" s="260">
        <v>3000</v>
      </c>
      <c r="L1057" s="260">
        <v>3000</v>
      </c>
      <c r="M1057" s="260">
        <v>3000</v>
      </c>
      <c r="N1057" s="260">
        <v>3000</v>
      </c>
      <c r="O1057" s="260">
        <v>3000</v>
      </c>
      <c r="P1057" s="260">
        <v>3000</v>
      </c>
      <c r="Q1057" s="260">
        <v>3000</v>
      </c>
      <c r="R1057" s="302">
        <v>1000</v>
      </c>
      <c r="S1057" s="252">
        <f t="shared" si="49"/>
        <v>34000</v>
      </c>
      <c r="T1057" s="257">
        <f t="shared" si="50"/>
        <v>2000</v>
      </c>
      <c r="AM1057" s="259"/>
    </row>
    <row r="1058" spans="1:39" s="258" customFormat="1" ht="48.75" customHeight="1" x14ac:dyDescent="0.75">
      <c r="A1058" s="409"/>
      <c r="B1058" s="253"/>
      <c r="C1058" s="38"/>
      <c r="D1058" s="38"/>
      <c r="E1058" s="254">
        <v>2016</v>
      </c>
      <c r="F1058" s="251">
        <v>3000</v>
      </c>
      <c r="G1058" s="260">
        <v>3000</v>
      </c>
      <c r="H1058" s="260">
        <v>3000</v>
      </c>
      <c r="I1058" s="260">
        <v>3000</v>
      </c>
      <c r="J1058" s="260">
        <v>3000</v>
      </c>
      <c r="K1058" s="260">
        <v>3000</v>
      </c>
      <c r="L1058" s="260">
        <v>3000</v>
      </c>
      <c r="M1058" s="260">
        <v>3000</v>
      </c>
      <c r="N1058" s="260">
        <v>3000</v>
      </c>
      <c r="O1058" s="260">
        <v>3000</v>
      </c>
      <c r="P1058" s="260">
        <v>3000</v>
      </c>
      <c r="Q1058" s="260">
        <v>3000</v>
      </c>
      <c r="R1058" s="260">
        <v>3000</v>
      </c>
      <c r="S1058" s="252">
        <f t="shared" si="49"/>
        <v>36000</v>
      </c>
      <c r="T1058" s="257">
        <f t="shared" si="50"/>
        <v>0</v>
      </c>
      <c r="AM1058" s="259"/>
    </row>
    <row r="1059" spans="1:39" s="258" customFormat="1" ht="48.75" customHeight="1" x14ac:dyDescent="0.75">
      <c r="A1059" s="410"/>
      <c r="B1059" s="253"/>
      <c r="C1059" s="38"/>
      <c r="D1059" s="38"/>
      <c r="E1059" s="254">
        <v>2015</v>
      </c>
      <c r="F1059" s="251">
        <v>3000</v>
      </c>
      <c r="G1059" s="260">
        <v>3000</v>
      </c>
      <c r="H1059" s="260">
        <v>3000</v>
      </c>
      <c r="I1059" s="260">
        <v>3000</v>
      </c>
      <c r="J1059" s="260">
        <v>3000</v>
      </c>
      <c r="K1059" s="260">
        <v>3000</v>
      </c>
      <c r="L1059" s="260">
        <v>3000</v>
      </c>
      <c r="M1059" s="260">
        <v>3000</v>
      </c>
      <c r="N1059" s="260">
        <v>3000</v>
      </c>
      <c r="O1059" s="260">
        <v>3000</v>
      </c>
      <c r="P1059" s="260">
        <v>3000</v>
      </c>
      <c r="Q1059" s="260">
        <v>3000</v>
      </c>
      <c r="R1059" s="260">
        <v>3000</v>
      </c>
      <c r="S1059" s="252">
        <f t="shared" si="49"/>
        <v>36000</v>
      </c>
      <c r="T1059" s="257">
        <f t="shared" si="50"/>
        <v>0</v>
      </c>
      <c r="AM1059" s="259"/>
    </row>
    <row r="1060" spans="1:39" s="258" customFormat="1" ht="48.75" customHeight="1" thickBot="1" x14ac:dyDescent="0.5">
      <c r="A1060" s="278"/>
      <c r="B1060" s="253"/>
      <c r="C1060" s="253"/>
      <c r="D1060" s="68"/>
      <c r="E1060" s="264"/>
      <c r="F1060" s="265"/>
      <c r="G1060" s="266"/>
      <c r="H1060" s="266"/>
      <c r="I1060" s="266"/>
      <c r="J1060" s="266"/>
      <c r="K1060" s="266"/>
      <c r="L1060" s="266"/>
      <c r="M1060" s="266"/>
      <c r="N1060" s="266"/>
      <c r="O1060" s="266"/>
      <c r="P1060" s="266"/>
      <c r="Q1060" s="266"/>
      <c r="R1060" s="266"/>
      <c r="S1060" s="267">
        <f>SUM(S1050:S1059)</f>
        <v>336000</v>
      </c>
      <c r="T1060" s="268">
        <f>SUM(T1050:T1059)</f>
        <v>24000</v>
      </c>
      <c r="AM1060" s="259"/>
    </row>
    <row r="1061" spans="1:39" s="245" customFormat="1" ht="48.75" customHeight="1" x14ac:dyDescent="0.5">
      <c r="A1061" s="55" t="s">
        <v>31</v>
      </c>
      <c r="B1061" s="241" t="s">
        <v>7</v>
      </c>
      <c r="C1061" s="242" t="s">
        <v>32</v>
      </c>
      <c r="D1061" s="243" t="s">
        <v>33</v>
      </c>
      <c r="E1061" s="242" t="s">
        <v>34</v>
      </c>
      <c r="F1061" s="244" t="s">
        <v>11</v>
      </c>
      <c r="G1061" s="244" t="s">
        <v>12</v>
      </c>
      <c r="H1061" s="244" t="s">
        <v>13</v>
      </c>
      <c r="I1061" s="244" t="s">
        <v>14</v>
      </c>
      <c r="J1061" s="244" t="s">
        <v>15</v>
      </c>
      <c r="K1061" s="244" t="s">
        <v>16</v>
      </c>
      <c r="L1061" s="244" t="s">
        <v>17</v>
      </c>
      <c r="M1061" s="244" t="s">
        <v>18</v>
      </c>
      <c r="N1061" s="244" t="s">
        <v>19</v>
      </c>
      <c r="O1061" s="244" t="s">
        <v>20</v>
      </c>
      <c r="P1061" s="244" t="s">
        <v>21</v>
      </c>
      <c r="Q1061" s="244" t="s">
        <v>22</v>
      </c>
      <c r="R1061" s="244" t="s">
        <v>23</v>
      </c>
      <c r="S1061" s="20" t="s">
        <v>24</v>
      </c>
      <c r="T1061" s="20" t="s">
        <v>25</v>
      </c>
      <c r="AM1061" s="246"/>
    </row>
    <row r="1062" spans="1:39" ht="51.75" customHeight="1" x14ac:dyDescent="0.25">
      <c r="A1062" s="310" t="s">
        <v>280</v>
      </c>
      <c r="B1062" s="17"/>
      <c r="C1062" s="279" t="s">
        <v>281</v>
      </c>
      <c r="D1062" s="19" t="str">
        <f>C1062</f>
        <v>IGBINADOLOR OSAYUKI</v>
      </c>
      <c r="E1062" s="26">
        <v>2025</v>
      </c>
      <c r="F1062" s="251">
        <v>5000</v>
      </c>
      <c r="G1062" s="22"/>
      <c r="H1062" s="22"/>
      <c r="I1062" s="22"/>
      <c r="J1062" s="22"/>
      <c r="K1062" s="22"/>
      <c r="L1062" s="22"/>
      <c r="M1062" s="22">
        <v>10000</v>
      </c>
      <c r="N1062" s="22">
        <v>20000</v>
      </c>
      <c r="O1062" s="22">
        <v>30000</v>
      </c>
      <c r="P1062" s="22">
        <v>98000</v>
      </c>
      <c r="Q1062" s="22"/>
      <c r="R1062" s="22"/>
      <c r="S1062" s="64">
        <f>SUM(G1062:R1062)</f>
        <v>158000</v>
      </c>
      <c r="T1062" s="29">
        <f>SUM(F1062*IF(E1062=_current_year,_current_month,12)-(S1062))</f>
        <v>-98000</v>
      </c>
    </row>
    <row r="1063" spans="1:39" ht="51.75" customHeight="1" x14ac:dyDescent="0.25">
      <c r="A1063" s="310"/>
      <c r="B1063" s="17"/>
      <c r="C1063" s="279"/>
      <c r="D1063" s="19"/>
      <c r="E1063" s="30">
        <v>2024</v>
      </c>
      <c r="F1063" s="251">
        <v>3000</v>
      </c>
      <c r="G1063" s="22"/>
      <c r="H1063" s="22"/>
      <c r="I1063" s="22"/>
      <c r="J1063" s="22">
        <v>30000</v>
      </c>
      <c r="K1063" s="22"/>
      <c r="L1063" s="22"/>
      <c r="M1063" s="22"/>
      <c r="N1063" s="22"/>
      <c r="O1063" s="22"/>
      <c r="P1063" s="22"/>
      <c r="Q1063" s="22"/>
      <c r="R1063" s="22"/>
      <c r="S1063" s="37">
        <f>SUM(G1063:R1063)</f>
        <v>30000</v>
      </c>
      <c r="T1063" s="22">
        <f>SUM(F1063*IF(E1063=_current_year,_current_month,12)-(S1063))</f>
        <v>6000</v>
      </c>
    </row>
    <row r="1064" spans="1:39" ht="51.75" customHeight="1" x14ac:dyDescent="0.25">
      <c r="A1064" s="310"/>
      <c r="B1064" s="17"/>
      <c r="C1064" s="279"/>
      <c r="D1064" s="19"/>
      <c r="E1064" s="30">
        <v>2023</v>
      </c>
      <c r="F1064" s="251">
        <v>3000</v>
      </c>
      <c r="G1064" s="22"/>
      <c r="H1064" s="22"/>
      <c r="I1064" s="22"/>
      <c r="J1064" s="22"/>
      <c r="K1064" s="22"/>
      <c r="L1064" s="22"/>
      <c r="M1064" s="22"/>
      <c r="N1064" s="22"/>
      <c r="O1064" s="22"/>
      <c r="P1064" s="22"/>
      <c r="Q1064" s="22"/>
      <c r="R1064" s="22"/>
      <c r="S1064" s="37">
        <f>SUM(G1064:R1064)</f>
        <v>0</v>
      </c>
      <c r="T1064" s="22">
        <f>SUM(F1064*IF(E1064=_current_year,_current_month,12)-(S1064))</f>
        <v>36000</v>
      </c>
    </row>
    <row r="1065" spans="1:39" s="220" customFormat="1" ht="48" customHeight="1" x14ac:dyDescent="0.4">
      <c r="A1065" s="310"/>
      <c r="B1065" s="33" t="s">
        <v>28</v>
      </c>
      <c r="C1065" s="34"/>
      <c r="D1065" s="35"/>
      <c r="E1065" s="30">
        <v>2022</v>
      </c>
      <c r="F1065" s="251">
        <v>3000</v>
      </c>
      <c r="G1065" s="36"/>
      <c r="H1065" s="36">
        <v>18000</v>
      </c>
      <c r="I1065" s="36"/>
      <c r="J1065" s="36"/>
      <c r="K1065" s="36"/>
      <c r="L1065" s="36"/>
      <c r="M1065" s="36"/>
      <c r="N1065" s="36"/>
      <c r="O1065" s="36"/>
      <c r="P1065" s="36"/>
      <c r="Q1065" s="36"/>
      <c r="R1065" s="36"/>
      <c r="S1065" s="37">
        <f>SUM(G1065:R1065)</f>
        <v>18000</v>
      </c>
      <c r="T1065" s="37">
        <f>SUM(36000-S1065)</f>
        <v>18000</v>
      </c>
      <c r="AM1065" s="250"/>
    </row>
    <row r="1066" spans="1:39" s="220" customFormat="1" ht="48.75" customHeight="1" x14ac:dyDescent="0.4">
      <c r="A1066" s="313" t="s">
        <v>167</v>
      </c>
      <c r="B1066" s="33" t="s">
        <v>28</v>
      </c>
      <c r="C1066" s="38" t="s">
        <v>52</v>
      </c>
      <c r="D1066" s="38"/>
      <c r="E1066" s="30">
        <v>2021</v>
      </c>
      <c r="F1066" s="251">
        <v>3000</v>
      </c>
      <c r="G1066" s="36"/>
      <c r="H1066" s="36"/>
      <c r="I1066" s="36"/>
      <c r="J1066" s="36"/>
      <c r="K1066" s="36"/>
      <c r="L1066" s="36"/>
      <c r="M1066" s="36"/>
      <c r="N1066" s="36"/>
      <c r="O1066" s="36"/>
      <c r="P1066" s="36"/>
      <c r="Q1066" s="36"/>
      <c r="R1066" s="36"/>
      <c r="S1066" s="252">
        <f>SUM(G1066:R1066)</f>
        <v>0</v>
      </c>
      <c r="T1066" s="252">
        <f>SUM(36000-S1066)</f>
        <v>36000</v>
      </c>
      <c r="AM1066" s="250"/>
    </row>
    <row r="1067" spans="1:39" s="258" customFormat="1" ht="48.75" customHeight="1" x14ac:dyDescent="0.45">
      <c r="A1067" s="313"/>
      <c r="B1067" s="253" t="s">
        <v>68</v>
      </c>
      <c r="C1067" s="38"/>
      <c r="D1067" s="38"/>
      <c r="E1067" s="254">
        <v>2020</v>
      </c>
      <c r="F1067" s="251">
        <v>3000</v>
      </c>
      <c r="G1067" s="302"/>
      <c r="H1067" s="302"/>
      <c r="I1067" s="302"/>
      <c r="J1067" s="302"/>
      <c r="K1067" s="302"/>
      <c r="L1067" s="302"/>
      <c r="M1067" s="302"/>
      <c r="N1067" s="205"/>
      <c r="O1067" s="302"/>
      <c r="P1067" s="302"/>
      <c r="Q1067" s="302"/>
      <c r="R1067" s="302"/>
      <c r="S1067" s="252">
        <f>SUM(N1067:R1067)</f>
        <v>0</v>
      </c>
      <c r="T1067" s="257">
        <f>SUM(12000-S1067)</f>
        <v>12000</v>
      </c>
      <c r="AM1067" s="259"/>
    </row>
    <row r="1068" spans="1:39" s="258" customFormat="1" ht="48.75" customHeight="1" x14ac:dyDescent="0.45">
      <c r="A1068" s="311"/>
      <c r="B1068" s="253"/>
      <c r="C1068" s="38"/>
      <c r="D1068" s="38"/>
      <c r="E1068" s="254"/>
      <c r="F1068" s="302"/>
      <c r="G1068" s="302"/>
      <c r="H1068" s="302"/>
      <c r="I1068" s="302"/>
      <c r="J1068" s="302"/>
      <c r="K1068" s="302"/>
      <c r="L1068" s="302"/>
      <c r="M1068" s="302"/>
      <c r="N1068" s="302"/>
      <c r="O1068" s="302"/>
      <c r="P1068" s="302"/>
      <c r="Q1068" s="302"/>
      <c r="R1068" s="302"/>
      <c r="S1068" s="252"/>
      <c r="T1068" s="257"/>
      <c r="AM1068" s="259"/>
    </row>
    <row r="1069" spans="1:39" s="258" customFormat="1" ht="48.75" customHeight="1" x14ac:dyDescent="0.75">
      <c r="A1069" s="410"/>
      <c r="B1069" s="253"/>
      <c r="C1069" s="38"/>
      <c r="D1069" s="38"/>
      <c r="E1069" s="254"/>
      <c r="F1069" s="302"/>
      <c r="G1069" s="260"/>
      <c r="H1069" s="260"/>
      <c r="I1069" s="260"/>
      <c r="J1069" s="260"/>
      <c r="K1069" s="260"/>
      <c r="L1069" s="260"/>
      <c r="M1069" s="260"/>
      <c r="N1069" s="260"/>
      <c r="O1069" s="260"/>
      <c r="P1069" s="260"/>
      <c r="Q1069" s="260"/>
      <c r="R1069" s="260"/>
      <c r="S1069" s="252"/>
      <c r="T1069" s="257"/>
      <c r="AM1069" s="259"/>
    </row>
    <row r="1070" spans="1:39" s="258" customFormat="1" ht="48.75" customHeight="1" thickBot="1" x14ac:dyDescent="0.5">
      <c r="A1070" s="278" t="s">
        <v>59</v>
      </c>
      <c r="B1070" s="253"/>
      <c r="C1070" s="253"/>
      <c r="D1070" s="68"/>
      <c r="E1070" s="264"/>
      <c r="F1070" s="265"/>
      <c r="G1070" s="266"/>
      <c r="H1070" s="266"/>
      <c r="I1070" s="266"/>
      <c r="J1070" s="266"/>
      <c r="K1070" s="266"/>
      <c r="L1070" s="266"/>
      <c r="M1070" s="266"/>
      <c r="N1070" s="266"/>
      <c r="O1070" s="266"/>
      <c r="P1070" s="266"/>
      <c r="Q1070" s="266"/>
      <c r="R1070" s="266"/>
      <c r="S1070" s="267">
        <f>SUM(S1062:S1069)</f>
        <v>206000</v>
      </c>
      <c r="T1070" s="268">
        <f>SUM(T1062:T1069)</f>
        <v>10000</v>
      </c>
      <c r="AM1070" s="259"/>
    </row>
    <row r="1071" spans="1:39" s="258" customFormat="1" ht="48.75" customHeight="1" x14ac:dyDescent="0.45">
      <c r="A1071" s="278"/>
      <c r="B1071" s="253"/>
      <c r="C1071" s="253"/>
      <c r="D1071" s="68"/>
      <c r="E1071" s="264"/>
      <c r="F1071" s="264"/>
      <c r="G1071" s="276"/>
      <c r="H1071" s="276"/>
      <c r="I1071" s="276"/>
      <c r="J1071" s="276"/>
      <c r="K1071" s="276"/>
      <c r="L1071" s="276"/>
      <c r="M1071" s="276"/>
      <c r="N1071" s="276"/>
      <c r="O1071" s="276"/>
      <c r="P1071" s="276"/>
      <c r="Q1071" s="276"/>
      <c r="R1071" s="276"/>
      <c r="S1071" s="286"/>
      <c r="T1071" s="286"/>
      <c r="AM1071" s="259"/>
    </row>
    <row r="1072" spans="1:39" s="245" customFormat="1" ht="65.25" customHeight="1" x14ac:dyDescent="0.5">
      <c r="A1072" s="55" t="s">
        <v>31</v>
      </c>
      <c r="B1072" s="241" t="s">
        <v>7</v>
      </c>
      <c r="C1072" s="392" t="s">
        <v>32</v>
      </c>
      <c r="D1072" s="243" t="s">
        <v>33</v>
      </c>
      <c r="E1072" s="242" t="s">
        <v>34</v>
      </c>
      <c r="F1072" s="244" t="s">
        <v>11</v>
      </c>
      <c r="G1072" s="244" t="s">
        <v>12</v>
      </c>
      <c r="H1072" s="244" t="s">
        <v>13</v>
      </c>
      <c r="I1072" s="244" t="s">
        <v>14</v>
      </c>
      <c r="J1072" s="244" t="s">
        <v>15</v>
      </c>
      <c r="K1072" s="244" t="s">
        <v>16</v>
      </c>
      <c r="L1072" s="244" t="s">
        <v>17</v>
      </c>
      <c r="M1072" s="244" t="s">
        <v>18</v>
      </c>
      <c r="N1072" s="244" t="s">
        <v>19</v>
      </c>
      <c r="O1072" s="244" t="s">
        <v>20</v>
      </c>
      <c r="P1072" s="244" t="s">
        <v>21</v>
      </c>
      <c r="Q1072" s="244" t="s">
        <v>22</v>
      </c>
      <c r="R1072" s="244" t="s">
        <v>23</v>
      </c>
      <c r="S1072" s="20" t="s">
        <v>24</v>
      </c>
      <c r="T1072" s="20" t="s">
        <v>25</v>
      </c>
      <c r="AM1072" s="246"/>
    </row>
    <row r="1073" spans="1:39" ht="51.75" customHeight="1" x14ac:dyDescent="0.25">
      <c r="A1073" s="310" t="s">
        <v>282</v>
      </c>
      <c r="B1073" s="17"/>
      <c r="C1073" s="247" t="s">
        <v>283</v>
      </c>
      <c r="D1073" s="19"/>
      <c r="E1073" s="26">
        <v>2025</v>
      </c>
      <c r="F1073" s="251">
        <v>5000</v>
      </c>
      <c r="G1073" s="448"/>
      <c r="H1073" s="448"/>
      <c r="I1073" s="448"/>
      <c r="J1073" s="448"/>
      <c r="K1073" s="448"/>
      <c r="L1073" s="448"/>
      <c r="M1073" s="448"/>
      <c r="N1073" s="448">
        <v>47000</v>
      </c>
      <c r="O1073" s="22">
        <v>10000</v>
      </c>
      <c r="P1073" s="22"/>
      <c r="Q1073" s="22"/>
      <c r="R1073" s="22"/>
      <c r="S1073" s="64">
        <f>SUM(G1073:R1073)</f>
        <v>57000</v>
      </c>
      <c r="T1073" s="29">
        <f>SUM(F1073*IF(E1073=_current_year,_current_month,12)-(S1073))</f>
        <v>3000</v>
      </c>
    </row>
    <row r="1074" spans="1:39" ht="51.75" customHeight="1" x14ac:dyDescent="0.25">
      <c r="A1074" s="310"/>
      <c r="B1074" s="17"/>
      <c r="C1074" s="247"/>
      <c r="D1074" s="19"/>
      <c r="E1074" s="30">
        <v>2024</v>
      </c>
      <c r="F1074" s="251">
        <v>3000</v>
      </c>
      <c r="G1074" s="448"/>
      <c r="H1074" s="448"/>
      <c r="I1074" s="448"/>
      <c r="J1074" s="448">
        <v>45000</v>
      </c>
      <c r="K1074" s="448"/>
      <c r="L1074" s="448"/>
      <c r="M1074" s="448"/>
      <c r="N1074" s="448"/>
      <c r="O1074" s="22"/>
      <c r="P1074" s="22"/>
      <c r="Q1074" s="22"/>
      <c r="R1074" s="22"/>
      <c r="S1074" s="37">
        <f>SUM(G1074:R1074)</f>
        <v>45000</v>
      </c>
      <c r="T1074" s="22">
        <f>SUM(F1074*IF(E1074=_current_year,_current_month,12)-(S1074))</f>
        <v>-9000</v>
      </c>
    </row>
    <row r="1075" spans="1:39" ht="51.75" customHeight="1" x14ac:dyDescent="0.25">
      <c r="A1075" s="310"/>
      <c r="B1075" s="17"/>
      <c r="C1075" s="315"/>
      <c r="D1075" s="19"/>
      <c r="E1075" s="30">
        <v>2023</v>
      </c>
      <c r="F1075" s="251">
        <v>3000</v>
      </c>
      <c r="G1075" s="448"/>
      <c r="H1075" s="448"/>
      <c r="I1075" s="448"/>
      <c r="J1075" s="448">
        <v>12000</v>
      </c>
      <c r="K1075" s="448"/>
      <c r="L1075" s="448"/>
      <c r="M1075" s="448"/>
      <c r="N1075" s="448"/>
      <c r="O1075" s="22"/>
      <c r="P1075" s="22"/>
      <c r="Q1075" s="22"/>
      <c r="R1075" s="22"/>
      <c r="S1075" s="37">
        <f>SUM(G1075:R1075)</f>
        <v>12000</v>
      </c>
      <c r="T1075" s="22">
        <f>SUM(F1075*IF(E1075=_current_year,_current_month,12)-(S1075))</f>
        <v>24000</v>
      </c>
    </row>
    <row r="1076" spans="1:39" s="220" customFormat="1" ht="48" customHeight="1" x14ac:dyDescent="0.4">
      <c r="A1076" s="310"/>
      <c r="B1076" s="33" t="s">
        <v>28</v>
      </c>
      <c r="C1076" s="85" t="s">
        <v>284</v>
      </c>
      <c r="D1076" s="35"/>
      <c r="E1076" s="143">
        <v>2022</v>
      </c>
      <c r="F1076" s="449">
        <v>3000</v>
      </c>
      <c r="G1076" s="149"/>
      <c r="H1076" s="150"/>
      <c r="I1076" s="150"/>
      <c r="J1076" s="150"/>
      <c r="K1076" s="150"/>
      <c r="L1076" s="150"/>
      <c r="M1076" s="150"/>
      <c r="N1076" s="151"/>
      <c r="O1076" s="450">
        <v>12000</v>
      </c>
      <c r="P1076" s="145"/>
      <c r="Q1076" s="145"/>
      <c r="R1076" s="145"/>
      <c r="S1076" s="451">
        <f>SUM(G1076:R1076)</f>
        <v>12000</v>
      </c>
      <c r="T1076" s="451">
        <f>SUM(9000-S1076)</f>
        <v>-3000</v>
      </c>
      <c r="AM1076" s="250"/>
    </row>
    <row r="1077" spans="1:39" s="220" customFormat="1" ht="48.75" customHeight="1" x14ac:dyDescent="0.4">
      <c r="A1077" s="313" t="s">
        <v>167</v>
      </c>
      <c r="B1077" s="33" t="s">
        <v>28</v>
      </c>
      <c r="C1077" s="38" t="s">
        <v>52</v>
      </c>
      <c r="D1077" s="38"/>
      <c r="E1077" s="347"/>
      <c r="F1077" s="348"/>
      <c r="G1077" s="276"/>
      <c r="H1077" s="276"/>
      <c r="I1077" s="276"/>
      <c r="J1077" s="276"/>
      <c r="K1077" s="276"/>
      <c r="L1077" s="276"/>
      <c r="M1077" s="276"/>
      <c r="N1077" s="452"/>
      <c r="O1077" s="348"/>
      <c r="P1077" s="348"/>
      <c r="Q1077" s="348"/>
      <c r="R1077" s="348"/>
      <c r="S1077" s="453"/>
      <c r="T1077" s="454"/>
      <c r="AM1077" s="250"/>
    </row>
    <row r="1078" spans="1:39" s="258" customFormat="1" ht="48.75" customHeight="1" x14ac:dyDescent="0.45">
      <c r="A1078" s="313"/>
      <c r="B1078" s="253" t="s">
        <v>28</v>
      </c>
      <c r="C1078" s="38"/>
      <c r="D1078" s="38"/>
      <c r="E1078" s="351"/>
      <c r="F1078" s="276"/>
      <c r="G1078" s="276"/>
      <c r="H1078" s="276"/>
      <c r="I1078" s="276"/>
      <c r="J1078" s="276"/>
      <c r="K1078" s="276"/>
      <c r="L1078" s="276"/>
      <c r="M1078" s="276"/>
      <c r="N1078" s="276"/>
      <c r="O1078" s="276"/>
      <c r="P1078" s="276"/>
      <c r="Q1078" s="276"/>
      <c r="R1078" s="276"/>
      <c r="S1078" s="353"/>
      <c r="T1078" s="354"/>
      <c r="AM1078" s="259"/>
    </row>
    <row r="1079" spans="1:39" s="258" customFormat="1" ht="48.75" customHeight="1" thickBot="1" x14ac:dyDescent="0.5">
      <c r="A1079" s="278"/>
      <c r="B1079" s="253"/>
      <c r="C1079" s="253"/>
      <c r="D1079" s="68"/>
      <c r="E1079" s="264"/>
      <c r="F1079" s="265"/>
      <c r="G1079" s="266"/>
      <c r="H1079" s="266"/>
      <c r="I1079" s="266"/>
      <c r="J1079" s="266"/>
      <c r="K1079" s="266"/>
      <c r="L1079" s="266"/>
      <c r="M1079" s="266"/>
      <c r="N1079" s="266"/>
      <c r="O1079" s="266"/>
      <c r="P1079" s="266"/>
      <c r="Q1079" s="266"/>
      <c r="R1079" s="266"/>
      <c r="S1079" s="267">
        <f>SUM(S1073:S1078)</f>
        <v>126000</v>
      </c>
      <c r="T1079" s="87">
        <f>SUM(T1073:T1078)</f>
        <v>15000</v>
      </c>
      <c r="AM1079" s="259"/>
    </row>
    <row r="1080" spans="1:39" s="258" customFormat="1" ht="48.75" customHeight="1" x14ac:dyDescent="0.45">
      <c r="A1080" s="278"/>
      <c r="B1080" s="253"/>
      <c r="C1080" s="253"/>
      <c r="D1080" s="68"/>
      <c r="E1080" s="253"/>
      <c r="F1080" s="253"/>
      <c r="G1080" s="253"/>
      <c r="H1080" s="253"/>
      <c r="I1080" s="253"/>
      <c r="J1080" s="253"/>
      <c r="K1080" s="253"/>
      <c r="L1080" s="253"/>
      <c r="M1080" s="253"/>
      <c r="N1080" s="253"/>
      <c r="O1080" s="253"/>
      <c r="P1080" s="253"/>
      <c r="Q1080" s="253"/>
      <c r="R1080" s="253"/>
      <c r="S1080" s="269"/>
      <c r="T1080" s="269"/>
      <c r="AM1080" s="259"/>
    </row>
    <row r="1081" spans="1:39" s="245" customFormat="1" ht="63" customHeight="1" x14ac:dyDescent="0.5">
      <c r="A1081" s="55" t="s">
        <v>31</v>
      </c>
      <c r="B1081" s="241" t="s">
        <v>7</v>
      </c>
      <c r="C1081" s="242" t="s">
        <v>32</v>
      </c>
      <c r="D1081" s="243" t="s">
        <v>33</v>
      </c>
      <c r="E1081" s="242" t="s">
        <v>34</v>
      </c>
      <c r="F1081" s="244" t="s">
        <v>11</v>
      </c>
      <c r="G1081" s="244" t="s">
        <v>12</v>
      </c>
      <c r="H1081" s="244" t="s">
        <v>13</v>
      </c>
      <c r="I1081" s="244" t="s">
        <v>14</v>
      </c>
      <c r="J1081" s="244" t="s">
        <v>15</v>
      </c>
      <c r="K1081" s="244" t="s">
        <v>16</v>
      </c>
      <c r="L1081" s="244" t="s">
        <v>17</v>
      </c>
      <c r="M1081" s="244" t="s">
        <v>18</v>
      </c>
      <c r="N1081" s="244" t="s">
        <v>19</v>
      </c>
      <c r="O1081" s="244" t="s">
        <v>20</v>
      </c>
      <c r="P1081" s="244" t="s">
        <v>21</v>
      </c>
      <c r="Q1081" s="244" t="s">
        <v>22</v>
      </c>
      <c r="R1081" s="244" t="s">
        <v>23</v>
      </c>
      <c r="S1081" s="20" t="s">
        <v>24</v>
      </c>
      <c r="T1081" s="20" t="s">
        <v>25</v>
      </c>
      <c r="AM1081" s="246"/>
    </row>
    <row r="1082" spans="1:39" ht="51.75" customHeight="1" x14ac:dyDescent="0.25">
      <c r="A1082" s="310" t="s">
        <v>285</v>
      </c>
      <c r="B1082" s="17"/>
      <c r="C1082" s="247" t="s">
        <v>124</v>
      </c>
      <c r="D1082" s="19"/>
      <c r="E1082" s="26">
        <v>2025</v>
      </c>
      <c r="F1082" s="251"/>
      <c r="G1082" s="22"/>
      <c r="H1082" s="22"/>
      <c r="I1082" s="22"/>
      <c r="J1082" s="22"/>
      <c r="K1082" s="22"/>
      <c r="L1082" s="22"/>
      <c r="M1082" s="22"/>
      <c r="N1082" s="22"/>
      <c r="O1082" s="22"/>
      <c r="P1082" s="22"/>
      <c r="Q1082" s="22"/>
      <c r="R1082" s="455"/>
      <c r="S1082" s="318">
        <f t="shared" ref="S1082" si="51">SUM(G1082:R1082)</f>
        <v>0</v>
      </c>
      <c r="T1082" s="29">
        <f>SUM(F1082*IF(E1082=_current_year,_current_month,12)-(S1082))</f>
        <v>0</v>
      </c>
    </row>
    <row r="1083" spans="1:39" ht="51.75" customHeight="1" x14ac:dyDescent="0.25">
      <c r="A1083" s="310"/>
      <c r="B1083" s="17"/>
      <c r="C1083" s="247"/>
      <c r="D1083" s="19"/>
      <c r="E1083" s="73"/>
      <c r="F1083" s="73"/>
      <c r="G1083" s="73"/>
      <c r="H1083" s="73"/>
      <c r="I1083" s="73"/>
      <c r="J1083" s="73"/>
      <c r="K1083" s="73"/>
      <c r="L1083" s="73"/>
      <c r="M1083" s="73"/>
      <c r="N1083" s="73"/>
      <c r="O1083" s="73"/>
      <c r="P1083" s="73"/>
      <c r="Q1083" s="73"/>
      <c r="R1083" s="73"/>
      <c r="S1083" s="73"/>
      <c r="T1083" s="73"/>
    </row>
    <row r="1084" spans="1:39" ht="51.75" customHeight="1" x14ac:dyDescent="0.25">
      <c r="A1084" s="310"/>
      <c r="B1084" s="17"/>
      <c r="C1084" s="38" t="s">
        <v>52</v>
      </c>
      <c r="D1084" s="19"/>
      <c r="E1084" s="73"/>
      <c r="F1084" s="73"/>
      <c r="G1084" s="73"/>
      <c r="H1084" s="73"/>
      <c r="I1084" s="73"/>
      <c r="J1084" s="73"/>
      <c r="K1084" s="73"/>
      <c r="L1084" s="73"/>
      <c r="M1084" s="73"/>
      <c r="N1084" s="73"/>
      <c r="O1084" s="73"/>
      <c r="P1084" s="73"/>
      <c r="Q1084" s="73"/>
      <c r="R1084" s="73"/>
      <c r="S1084" s="73"/>
      <c r="T1084" s="73"/>
    </row>
    <row r="1085" spans="1:39" s="220" customFormat="1" ht="48" customHeight="1" x14ac:dyDescent="0.4">
      <c r="A1085" s="310"/>
      <c r="B1085" s="33" t="s">
        <v>28</v>
      </c>
      <c r="C1085" s="125"/>
      <c r="D1085" s="35"/>
      <c r="E1085" s="73"/>
      <c r="F1085" s="73"/>
      <c r="G1085" s="73"/>
      <c r="H1085" s="73"/>
      <c r="I1085" s="73"/>
      <c r="J1085" s="73"/>
      <c r="K1085" s="73"/>
      <c r="L1085" s="73"/>
      <c r="M1085" s="73"/>
      <c r="N1085" s="73"/>
      <c r="O1085" s="73"/>
      <c r="P1085" s="73"/>
      <c r="Q1085" s="73"/>
      <c r="R1085" s="73"/>
      <c r="S1085" s="73"/>
      <c r="T1085" s="73"/>
      <c r="AM1085" s="250"/>
    </row>
    <row r="1086" spans="1:39" ht="48.75" customHeight="1" x14ac:dyDescent="0.4">
      <c r="A1086" s="456"/>
      <c r="B1086" s="33" t="s">
        <v>28</v>
      </c>
      <c r="C1086" s="125"/>
      <c r="D1086" s="59"/>
      <c r="E1086" s="77"/>
      <c r="F1086" s="78"/>
      <c r="G1086" s="78"/>
      <c r="H1086" s="78"/>
      <c r="I1086" s="78"/>
      <c r="J1086" s="78"/>
      <c r="K1086" s="78"/>
      <c r="L1086" s="78"/>
      <c r="M1086" s="78"/>
      <c r="N1086" s="78"/>
      <c r="O1086" s="78"/>
      <c r="P1086" s="78"/>
      <c r="Q1086" s="78"/>
      <c r="R1086" s="78"/>
      <c r="S1086" s="78"/>
      <c r="T1086" s="79"/>
    </row>
    <row r="1087" spans="1:39" ht="48.75" customHeight="1" x14ac:dyDescent="0.4">
      <c r="A1087" s="313" t="s">
        <v>167</v>
      </c>
      <c r="B1087" s="253" t="s">
        <v>93</v>
      </c>
      <c r="C1087" s="457"/>
      <c r="D1087" s="61"/>
      <c r="E1087" s="77"/>
      <c r="F1087" s="78"/>
      <c r="G1087" s="78"/>
      <c r="H1087" s="78"/>
      <c r="I1087" s="78"/>
      <c r="J1087" s="78"/>
      <c r="K1087" s="78"/>
      <c r="L1087" s="78"/>
      <c r="M1087" s="78"/>
      <c r="N1087" s="78"/>
      <c r="O1087" s="78"/>
      <c r="P1087" s="78"/>
      <c r="Q1087" s="78"/>
      <c r="R1087" s="78"/>
      <c r="S1087" s="78"/>
      <c r="T1087" s="79"/>
    </row>
    <row r="1088" spans="1:39" ht="48.75" customHeight="1" x14ac:dyDescent="0.4">
      <c r="A1088" s="313"/>
      <c r="B1088" s="253"/>
      <c r="C1088" s="457"/>
      <c r="D1088" s="61"/>
      <c r="E1088" s="77"/>
      <c r="F1088" s="78"/>
      <c r="G1088" s="78"/>
      <c r="H1088" s="78"/>
      <c r="I1088" s="78"/>
      <c r="J1088" s="78"/>
      <c r="K1088" s="78"/>
      <c r="L1088" s="78"/>
      <c r="M1088" s="78"/>
      <c r="N1088" s="78"/>
      <c r="O1088" s="78"/>
      <c r="P1088" s="78"/>
      <c r="Q1088" s="78"/>
      <c r="R1088" s="78"/>
      <c r="S1088" s="78"/>
      <c r="T1088" s="79"/>
    </row>
    <row r="1089" spans="1:39" s="258" customFormat="1" ht="48.75" customHeight="1" thickBot="1" x14ac:dyDescent="0.5">
      <c r="A1089" s="278"/>
      <c r="B1089" s="253"/>
      <c r="C1089" s="253"/>
      <c r="D1089" s="68"/>
      <c r="E1089" s="264"/>
      <c r="F1089" s="265"/>
      <c r="G1089" s="266"/>
      <c r="H1089" s="266"/>
      <c r="I1089" s="266"/>
      <c r="J1089" s="266"/>
      <c r="K1089" s="266"/>
      <c r="L1089" s="266"/>
      <c r="M1089" s="266"/>
      <c r="N1089" s="266"/>
      <c r="O1089" s="266"/>
      <c r="P1089" s="266"/>
      <c r="Q1089" s="266"/>
      <c r="R1089" s="266"/>
      <c r="S1089" s="267">
        <f>SUM(S1082:S1088)</f>
        <v>0</v>
      </c>
      <c r="T1089" s="268">
        <f>SUM(T1082:T1088)</f>
        <v>0</v>
      </c>
      <c r="AM1089" s="259"/>
    </row>
    <row r="1090" spans="1:39" s="258" customFormat="1" ht="48.75" customHeight="1" x14ac:dyDescent="0.45">
      <c r="A1090" s="278"/>
      <c r="B1090" s="253"/>
      <c r="C1090" s="253"/>
      <c r="D1090" s="68"/>
      <c r="E1090" s="253"/>
      <c r="F1090" s="253"/>
      <c r="G1090" s="253"/>
      <c r="H1090" s="253"/>
      <c r="I1090" s="253"/>
      <c r="J1090" s="253"/>
      <c r="K1090" s="253"/>
      <c r="L1090" s="253"/>
      <c r="M1090" s="253"/>
      <c r="N1090" s="253"/>
      <c r="O1090" s="253"/>
      <c r="P1090" s="253"/>
      <c r="Q1090" s="253"/>
      <c r="R1090" s="253"/>
      <c r="S1090" s="269"/>
      <c r="T1090" s="269"/>
      <c r="AM1090" s="259"/>
    </row>
    <row r="1091" spans="1:39" s="258" customFormat="1" ht="48.75" customHeight="1" x14ac:dyDescent="0.45">
      <c r="A1091" s="278"/>
      <c r="B1091" s="253"/>
      <c r="C1091" s="253"/>
      <c r="D1091" s="68"/>
      <c r="E1091" s="253"/>
      <c r="F1091" s="253"/>
      <c r="G1091" s="253"/>
      <c r="H1091" s="253"/>
      <c r="I1091" s="253"/>
      <c r="J1091" s="253"/>
      <c r="K1091" s="253"/>
      <c r="L1091" s="253"/>
      <c r="M1091" s="253"/>
      <c r="N1091" s="253"/>
      <c r="O1091" s="253"/>
      <c r="P1091" s="253"/>
      <c r="Q1091" s="253"/>
      <c r="R1091" s="253"/>
      <c r="S1091" s="269"/>
      <c r="T1091" s="269"/>
      <c r="AM1091" s="259"/>
    </row>
    <row r="1092" spans="1:39" s="245" customFormat="1" ht="63" customHeight="1" x14ac:dyDescent="0.5">
      <c r="A1092" s="55" t="s">
        <v>31</v>
      </c>
      <c r="B1092" s="241" t="s">
        <v>7</v>
      </c>
      <c r="C1092" s="242" t="s">
        <v>32</v>
      </c>
      <c r="D1092" s="243" t="s">
        <v>33</v>
      </c>
      <c r="E1092" s="242" t="s">
        <v>34</v>
      </c>
      <c r="F1092" s="244" t="s">
        <v>11</v>
      </c>
      <c r="G1092" s="244" t="s">
        <v>12</v>
      </c>
      <c r="H1092" s="244" t="s">
        <v>13</v>
      </c>
      <c r="I1092" s="244" t="s">
        <v>14</v>
      </c>
      <c r="J1092" s="244" t="s">
        <v>15</v>
      </c>
      <c r="K1092" s="244" t="s">
        <v>16</v>
      </c>
      <c r="L1092" s="244" t="s">
        <v>17</v>
      </c>
      <c r="M1092" s="244" t="s">
        <v>18</v>
      </c>
      <c r="N1092" s="244" t="s">
        <v>19</v>
      </c>
      <c r="O1092" s="244" t="s">
        <v>20</v>
      </c>
      <c r="P1092" s="244" t="s">
        <v>21</v>
      </c>
      <c r="Q1092" s="244" t="s">
        <v>22</v>
      </c>
      <c r="R1092" s="244" t="s">
        <v>23</v>
      </c>
      <c r="S1092" s="20" t="s">
        <v>24</v>
      </c>
      <c r="T1092" s="20" t="s">
        <v>25</v>
      </c>
      <c r="AM1092" s="246"/>
    </row>
    <row r="1093" spans="1:39" ht="51.75" customHeight="1" x14ac:dyDescent="0.25">
      <c r="A1093" s="310" t="s">
        <v>286</v>
      </c>
      <c r="B1093" s="17"/>
      <c r="C1093" s="247" t="s">
        <v>287</v>
      </c>
      <c r="D1093" s="19"/>
      <c r="E1093" s="26">
        <v>2025</v>
      </c>
      <c r="F1093" s="251">
        <v>5000</v>
      </c>
      <c r="G1093" s="22"/>
      <c r="H1093" s="302"/>
      <c r="I1093" s="302"/>
      <c r="J1093" s="302"/>
      <c r="K1093" s="302"/>
      <c r="L1093" s="302"/>
      <c r="M1093" s="302"/>
      <c r="N1093" s="302"/>
      <c r="O1093" s="302"/>
      <c r="P1093" s="302"/>
      <c r="Q1093" s="302"/>
      <c r="R1093" s="302"/>
      <c r="S1093" s="64">
        <f>SUM(G1093:R1093)</f>
        <v>0</v>
      </c>
      <c r="T1093" s="29">
        <f>SUM(F1093*IF(E1093=_current_year,_current_month,12)-(S1093))</f>
        <v>60000</v>
      </c>
    </row>
    <row r="1094" spans="1:39" ht="51.75" customHeight="1" x14ac:dyDescent="0.25">
      <c r="A1094" s="458"/>
      <c r="B1094" s="17"/>
      <c r="C1094" s="308"/>
      <c r="D1094" s="19"/>
      <c r="E1094" s="30">
        <v>2024</v>
      </c>
      <c r="F1094" s="251">
        <v>3000</v>
      </c>
      <c r="G1094" s="22">
        <v>9000</v>
      </c>
      <c r="H1094" s="302"/>
      <c r="I1094" s="302"/>
      <c r="J1094" s="302"/>
      <c r="K1094" s="302"/>
      <c r="L1094" s="302"/>
      <c r="M1094" s="302"/>
      <c r="N1094" s="302"/>
      <c r="O1094" s="302"/>
      <c r="P1094" s="302">
        <v>24000</v>
      </c>
      <c r="Q1094" s="302"/>
      <c r="R1094" s="302"/>
      <c r="S1094" s="37">
        <f>SUM(G1094:R1094)</f>
        <v>33000</v>
      </c>
      <c r="T1094" s="22">
        <f>SUM(F1094*IF(E1094=_current_year,_current_month,12)-(S1094))</f>
        <v>3000</v>
      </c>
    </row>
    <row r="1095" spans="1:39" ht="51.75" customHeight="1" x14ac:dyDescent="0.6">
      <c r="A1095" s="458"/>
      <c r="B1095" s="17"/>
      <c r="C1095" s="315" t="s">
        <v>288</v>
      </c>
      <c r="D1095" s="19"/>
      <c r="E1095" s="30">
        <v>2023</v>
      </c>
      <c r="F1095" s="251">
        <v>3000</v>
      </c>
      <c r="G1095" s="426"/>
      <c r="H1095" s="427"/>
      <c r="I1095" s="427"/>
      <c r="J1095" s="428"/>
      <c r="K1095" s="459">
        <v>18000</v>
      </c>
      <c r="L1095" s="22"/>
      <c r="M1095" s="22"/>
      <c r="N1095" s="22"/>
      <c r="O1095" s="22"/>
      <c r="P1095" s="22"/>
      <c r="Q1095" s="22"/>
      <c r="S1095" s="37">
        <f>SUM(K1095:R1095)</f>
        <v>18000</v>
      </c>
      <c r="T1095" s="22">
        <f>SUM(F1095*7)-(S1095)</f>
        <v>3000</v>
      </c>
    </row>
    <row r="1096" spans="1:39" s="220" customFormat="1" ht="48" customHeight="1" x14ac:dyDescent="0.4">
      <c r="A1096" s="458"/>
      <c r="B1096" s="33" t="s">
        <v>28</v>
      </c>
      <c r="C1096" s="315" t="s">
        <v>289</v>
      </c>
      <c r="D1096" s="35"/>
      <c r="E1096" s="91"/>
      <c r="F1096" s="91"/>
      <c r="G1096" s="91"/>
      <c r="H1096" s="91"/>
      <c r="I1096" s="91"/>
      <c r="J1096" s="91"/>
      <c r="K1096" s="91"/>
      <c r="L1096" s="91"/>
      <c r="M1096" s="91"/>
      <c r="N1096" s="91"/>
      <c r="O1096" s="91"/>
      <c r="P1096" s="91"/>
      <c r="Q1096" s="91"/>
      <c r="R1096" s="137"/>
      <c r="S1096" s="434"/>
      <c r="T1096" s="434"/>
      <c r="AM1096" s="250"/>
    </row>
    <row r="1097" spans="1:39" s="220" customFormat="1" ht="48.75" customHeight="1" x14ac:dyDescent="0.4">
      <c r="A1097" s="313" t="s">
        <v>167</v>
      </c>
      <c r="B1097" s="33" t="s">
        <v>28</v>
      </c>
      <c r="C1097" s="80" t="s">
        <v>52</v>
      </c>
      <c r="D1097" s="80"/>
      <c r="E1097" s="92"/>
      <c r="F1097" s="92"/>
      <c r="G1097" s="92"/>
      <c r="H1097" s="92"/>
      <c r="I1097" s="92"/>
      <c r="J1097" s="92"/>
      <c r="K1097" s="92"/>
      <c r="L1097" s="92"/>
      <c r="M1097" s="92"/>
      <c r="N1097" s="92"/>
      <c r="O1097" s="92"/>
      <c r="P1097" s="92"/>
      <c r="Q1097" s="92"/>
      <c r="R1097" s="112"/>
      <c r="S1097" s="437"/>
      <c r="T1097" s="437"/>
      <c r="AM1097" s="250"/>
    </row>
    <row r="1098" spans="1:39" s="258" customFormat="1" ht="48.75" customHeight="1" x14ac:dyDescent="0.45">
      <c r="A1098" s="313"/>
      <c r="B1098" s="253" t="s">
        <v>93</v>
      </c>
      <c r="C1098" s="82"/>
      <c r="D1098" s="82"/>
      <c r="E1098" s="92"/>
      <c r="F1098" s="92"/>
      <c r="G1098" s="92"/>
      <c r="H1098" s="92"/>
      <c r="I1098" s="92"/>
      <c r="J1098" s="92"/>
      <c r="K1098" s="92"/>
      <c r="L1098" s="92"/>
      <c r="M1098" s="92"/>
      <c r="N1098" s="92"/>
      <c r="O1098" s="92"/>
      <c r="P1098" s="92"/>
      <c r="Q1098" s="92"/>
      <c r="R1098" s="112"/>
      <c r="S1098" s="437"/>
      <c r="T1098" s="437"/>
      <c r="AM1098" s="259"/>
    </row>
    <row r="1099" spans="1:39" s="258" customFormat="1" ht="48.75" customHeight="1" thickBot="1" x14ac:dyDescent="0.5">
      <c r="A1099" s="278"/>
      <c r="B1099" s="253"/>
      <c r="C1099" s="82"/>
      <c r="D1099" s="82"/>
      <c r="E1099" s="264"/>
      <c r="F1099" s="265"/>
      <c r="G1099" s="266"/>
      <c r="H1099" s="266"/>
      <c r="I1099" s="266"/>
      <c r="J1099" s="266"/>
      <c r="K1099" s="266"/>
      <c r="L1099" s="266"/>
      <c r="M1099" s="266"/>
      <c r="N1099" s="266"/>
      <c r="O1099" s="266"/>
      <c r="P1099" s="266"/>
      <c r="Q1099" s="266"/>
      <c r="R1099" s="266"/>
      <c r="S1099" s="267">
        <f>SUM(S1093:S1098)</f>
        <v>51000</v>
      </c>
      <c r="T1099" s="268">
        <f>SUM(T1093:T1098)</f>
        <v>66000</v>
      </c>
      <c r="AM1099" s="259"/>
    </row>
    <row r="1100" spans="1:39" s="258" customFormat="1" ht="48.75" customHeight="1" x14ac:dyDescent="0.45">
      <c r="A1100" s="278"/>
      <c r="B1100" s="253"/>
      <c r="C1100" s="253"/>
      <c r="D1100" s="68"/>
      <c r="E1100" s="253"/>
      <c r="F1100" s="253"/>
      <c r="G1100" s="253"/>
      <c r="H1100" s="253"/>
      <c r="I1100" s="253"/>
      <c r="J1100" s="253"/>
      <c r="K1100" s="253"/>
      <c r="L1100" s="253"/>
      <c r="M1100" s="253"/>
      <c r="N1100" s="253"/>
      <c r="O1100" s="253"/>
      <c r="P1100" s="253"/>
      <c r="Q1100" s="253"/>
      <c r="R1100" s="253"/>
      <c r="S1100" s="269"/>
      <c r="T1100" s="269"/>
      <c r="AM1100" s="259"/>
    </row>
    <row r="1101" spans="1:39" s="245" customFormat="1" ht="63" customHeight="1" x14ac:dyDescent="0.5">
      <c r="A1101" s="55" t="s">
        <v>31</v>
      </c>
      <c r="B1101" s="241" t="s">
        <v>7</v>
      </c>
      <c r="C1101" s="242" t="s">
        <v>32</v>
      </c>
      <c r="D1101" s="243" t="s">
        <v>33</v>
      </c>
      <c r="E1101" s="242" t="s">
        <v>34</v>
      </c>
      <c r="F1101" s="244" t="s">
        <v>11</v>
      </c>
      <c r="G1101" s="244" t="s">
        <v>12</v>
      </c>
      <c r="H1101" s="244" t="s">
        <v>13</v>
      </c>
      <c r="I1101" s="244" t="s">
        <v>14</v>
      </c>
      <c r="J1101" s="244" t="s">
        <v>15</v>
      </c>
      <c r="K1101" s="244" t="s">
        <v>16</v>
      </c>
      <c r="L1101" s="244" t="s">
        <v>17</v>
      </c>
      <c r="M1101" s="244" t="s">
        <v>18</v>
      </c>
      <c r="N1101" s="244" t="s">
        <v>19</v>
      </c>
      <c r="O1101" s="244" t="s">
        <v>20</v>
      </c>
      <c r="P1101" s="244" t="s">
        <v>21</v>
      </c>
      <c r="Q1101" s="244" t="s">
        <v>22</v>
      </c>
      <c r="R1101" s="244" t="s">
        <v>23</v>
      </c>
      <c r="S1101" s="20" t="s">
        <v>24</v>
      </c>
      <c r="T1101" s="20" t="s">
        <v>25</v>
      </c>
      <c r="AM1101" s="246"/>
    </row>
    <row r="1102" spans="1:39" ht="51.75" customHeight="1" x14ac:dyDescent="0.25">
      <c r="A1102" s="310" t="s">
        <v>290</v>
      </c>
      <c r="B1102" s="17"/>
      <c r="C1102" s="247" t="s">
        <v>291</v>
      </c>
      <c r="D1102" s="19"/>
      <c r="E1102" s="26">
        <v>2025</v>
      </c>
      <c r="F1102" s="251">
        <v>5000</v>
      </c>
      <c r="G1102" s="22"/>
      <c r="H1102" s="22"/>
      <c r="I1102" s="22"/>
      <c r="J1102" s="22"/>
      <c r="K1102" s="22"/>
      <c r="L1102" s="22"/>
      <c r="M1102" s="22"/>
      <c r="N1102" s="22"/>
      <c r="O1102" s="22"/>
      <c r="P1102" s="22"/>
      <c r="Q1102" s="22"/>
      <c r="R1102" s="22"/>
      <c r="S1102" s="64">
        <f>SUM(G1102:R1102)</f>
        <v>0</v>
      </c>
      <c r="T1102" s="29">
        <f>SUM(F1102*IF(E1102=_current_year,_current_month,12)-(S1102))</f>
        <v>60000</v>
      </c>
    </row>
    <row r="1103" spans="1:39" ht="51.75" customHeight="1" x14ac:dyDescent="0.25">
      <c r="A1103" s="458"/>
      <c r="B1103" s="17"/>
      <c r="C1103" s="308"/>
      <c r="D1103" s="19"/>
      <c r="E1103" s="30">
        <v>2024</v>
      </c>
      <c r="F1103" s="251">
        <v>3000</v>
      </c>
      <c r="G1103" s="22"/>
      <c r="H1103" s="22">
        <v>36000</v>
      </c>
      <c r="I1103" s="22"/>
      <c r="J1103" s="22"/>
      <c r="K1103" s="22"/>
      <c r="L1103" s="22"/>
      <c r="M1103" s="22"/>
      <c r="N1103" s="22"/>
      <c r="O1103" s="22"/>
      <c r="P1103" s="22"/>
      <c r="Q1103" s="22"/>
      <c r="R1103" s="22"/>
      <c r="S1103" s="37">
        <f>SUM(G1103:R1103)</f>
        <v>36000</v>
      </c>
      <c r="T1103" s="22">
        <f>SUM(F1103*IF(E1103=_current_year,_current_month,12)-(S1103))</f>
        <v>0</v>
      </c>
    </row>
    <row r="1104" spans="1:39" ht="51.75" customHeight="1" x14ac:dyDescent="0.25">
      <c r="A1104" s="458"/>
      <c r="B1104" s="17"/>
      <c r="C1104" s="315"/>
      <c r="D1104" s="19"/>
      <c r="E1104" s="30">
        <v>2023</v>
      </c>
      <c r="F1104" s="251">
        <v>3000</v>
      </c>
      <c r="G1104" s="22"/>
      <c r="H1104" s="22">
        <v>3000</v>
      </c>
      <c r="I1104" s="22">
        <v>9000</v>
      </c>
      <c r="J1104" s="22"/>
      <c r="K1104" s="22">
        <v>12000</v>
      </c>
      <c r="L1104" s="22"/>
      <c r="M1104" s="22"/>
      <c r="N1104" s="22"/>
      <c r="O1104" s="22">
        <v>12000</v>
      </c>
      <c r="P1104" s="22"/>
      <c r="Q1104" s="22"/>
      <c r="R1104" s="22"/>
      <c r="S1104" s="37">
        <f>SUM(G1104:R1104)</f>
        <v>36000</v>
      </c>
      <c r="T1104" s="22">
        <f>SUM(F1104*IF(E1104=_current_year,_current_month,12)-(S1104))</f>
        <v>0</v>
      </c>
    </row>
    <row r="1105" spans="1:39" s="220" customFormat="1" ht="48" customHeight="1" x14ac:dyDescent="0.4">
      <c r="A1105" s="458"/>
      <c r="B1105" s="33" t="s">
        <v>28</v>
      </c>
      <c r="C1105" s="34"/>
      <c r="D1105" s="35"/>
      <c r="E1105" s="30">
        <v>2022</v>
      </c>
      <c r="F1105" s="251">
        <v>3000</v>
      </c>
      <c r="G1105" s="36"/>
      <c r="H1105" s="36">
        <v>3000</v>
      </c>
      <c r="I1105" s="36"/>
      <c r="J1105" s="36">
        <v>3000</v>
      </c>
      <c r="K1105" s="36">
        <v>3000</v>
      </c>
      <c r="L1105" s="36">
        <v>3000</v>
      </c>
      <c r="M1105" s="36">
        <v>3000</v>
      </c>
      <c r="N1105" s="36">
        <f>3000+3000</f>
        <v>6000</v>
      </c>
      <c r="O1105" s="36"/>
      <c r="P1105" s="36">
        <v>15000</v>
      </c>
      <c r="Q1105" s="36"/>
      <c r="R1105" s="36"/>
      <c r="S1105" s="37">
        <f>SUM(G1105:R1105)</f>
        <v>36000</v>
      </c>
      <c r="T1105" s="37">
        <f>SUM(36000-S1105)</f>
        <v>0</v>
      </c>
      <c r="AM1105" s="250"/>
    </row>
    <row r="1106" spans="1:39" s="220" customFormat="1" ht="48.75" customHeight="1" x14ac:dyDescent="0.4">
      <c r="A1106" s="458"/>
      <c r="B1106" s="33" t="s">
        <v>28</v>
      </c>
      <c r="C1106" s="80" t="s">
        <v>52</v>
      </c>
      <c r="D1106" s="80"/>
      <c r="E1106" s="30">
        <v>2021</v>
      </c>
      <c r="F1106" s="251">
        <v>3000</v>
      </c>
      <c r="G1106" s="36"/>
      <c r="H1106" s="36"/>
      <c r="I1106" s="36"/>
      <c r="J1106" s="36"/>
      <c r="K1106" s="36"/>
      <c r="L1106" s="36"/>
      <c r="M1106" s="36"/>
      <c r="N1106" s="36"/>
      <c r="O1106" s="36"/>
      <c r="P1106" s="36"/>
      <c r="Q1106" s="36"/>
      <c r="R1106" s="205"/>
      <c r="S1106" s="252">
        <f>SUM(G1106:R1106)</f>
        <v>0</v>
      </c>
      <c r="T1106" s="252">
        <v>0</v>
      </c>
      <c r="AM1106" s="250"/>
    </row>
    <row r="1107" spans="1:39" s="258" customFormat="1" ht="48.75" customHeight="1" x14ac:dyDescent="0.45">
      <c r="A1107" s="313" t="s">
        <v>167</v>
      </c>
      <c r="B1107" s="253" t="s">
        <v>93</v>
      </c>
      <c r="C1107" s="82"/>
      <c r="D1107" s="82"/>
      <c r="E1107" s="254"/>
      <c r="F1107" s="251"/>
      <c r="G1107" s="302"/>
      <c r="H1107" s="302"/>
      <c r="I1107" s="302"/>
      <c r="J1107" s="302"/>
      <c r="K1107" s="302"/>
      <c r="L1107" s="302"/>
      <c r="M1107" s="302"/>
      <c r="N1107" s="302"/>
      <c r="O1107" s="302"/>
      <c r="P1107" s="302"/>
      <c r="Q1107" s="302"/>
      <c r="R1107" s="302"/>
      <c r="S1107" s="252"/>
      <c r="T1107" s="252"/>
      <c r="AM1107" s="259"/>
    </row>
    <row r="1108" spans="1:39" s="258" customFormat="1" ht="48.75" customHeight="1" x14ac:dyDescent="0.45">
      <c r="A1108" s="313"/>
      <c r="B1108" s="253"/>
      <c r="C1108" s="82"/>
      <c r="D1108" s="82"/>
      <c r="E1108" s="264"/>
      <c r="F1108" s="264"/>
      <c r="G1108" s="276"/>
      <c r="H1108" s="276"/>
      <c r="I1108" s="276"/>
      <c r="J1108" s="276"/>
      <c r="K1108" s="276"/>
      <c r="L1108" s="276"/>
      <c r="M1108" s="276"/>
      <c r="N1108" s="276"/>
      <c r="O1108" s="276"/>
      <c r="P1108" s="276"/>
      <c r="Q1108" s="276"/>
      <c r="R1108" s="276"/>
      <c r="S1108" s="275"/>
      <c r="T1108" s="286"/>
      <c r="AM1108" s="259"/>
    </row>
    <row r="1109" spans="1:39" s="258" customFormat="1" ht="48.75" customHeight="1" thickBot="1" x14ac:dyDescent="0.5">
      <c r="A1109" s="278"/>
      <c r="B1109" s="253"/>
      <c r="C1109" s="82"/>
      <c r="D1109" s="82"/>
      <c r="E1109" s="264"/>
      <c r="F1109" s="265"/>
      <c r="G1109" s="266"/>
      <c r="H1109" s="266"/>
      <c r="I1109" s="266"/>
      <c r="J1109" s="266"/>
      <c r="K1109" s="266"/>
      <c r="L1109" s="266"/>
      <c r="M1109" s="266"/>
      <c r="N1109" s="266"/>
      <c r="O1109" s="266"/>
      <c r="P1109" s="266"/>
      <c r="Q1109" s="266"/>
      <c r="R1109" s="266"/>
      <c r="S1109" s="267">
        <f>SUM(S1102:S1108)</f>
        <v>108000</v>
      </c>
      <c r="T1109" s="268">
        <f>SUM(T1102:T1108)</f>
        <v>60000</v>
      </c>
      <c r="AM1109" s="259"/>
    </row>
    <row r="1110" spans="1:39" s="258" customFormat="1" ht="48.75" customHeight="1" x14ac:dyDescent="0.45">
      <c r="A1110" s="278"/>
      <c r="B1110" s="253"/>
      <c r="C1110" s="187"/>
      <c r="D1110" s="187"/>
      <c r="E1110" s="264"/>
      <c r="F1110" s="264"/>
      <c r="G1110" s="276"/>
      <c r="H1110" s="276"/>
      <c r="I1110" s="276"/>
      <c r="J1110" s="276"/>
      <c r="K1110" s="276"/>
      <c r="L1110" s="276"/>
      <c r="M1110" s="276"/>
      <c r="N1110" s="276"/>
      <c r="O1110" s="276"/>
      <c r="P1110" s="276"/>
      <c r="Q1110" s="276"/>
      <c r="R1110" s="276"/>
      <c r="S1110" s="286"/>
      <c r="T1110" s="286"/>
      <c r="AM1110" s="259"/>
    </row>
    <row r="1111" spans="1:39" s="245" customFormat="1" ht="65.25" customHeight="1" x14ac:dyDescent="0.5">
      <c r="A1111" s="55" t="s">
        <v>31</v>
      </c>
      <c r="B1111" s="241" t="s">
        <v>7</v>
      </c>
      <c r="C1111" s="242" t="s">
        <v>32</v>
      </c>
      <c r="D1111" s="243" t="s">
        <v>33</v>
      </c>
      <c r="E1111" s="242" t="s">
        <v>34</v>
      </c>
      <c r="F1111" s="244" t="s">
        <v>11</v>
      </c>
      <c r="G1111" s="244" t="s">
        <v>12</v>
      </c>
      <c r="H1111" s="244" t="s">
        <v>13</v>
      </c>
      <c r="I1111" s="244" t="s">
        <v>14</v>
      </c>
      <c r="J1111" s="244" t="s">
        <v>15</v>
      </c>
      <c r="K1111" s="244" t="s">
        <v>16</v>
      </c>
      <c r="L1111" s="244" t="s">
        <v>17</v>
      </c>
      <c r="M1111" s="244" t="s">
        <v>18</v>
      </c>
      <c r="N1111" s="244" t="s">
        <v>19</v>
      </c>
      <c r="O1111" s="244" t="s">
        <v>20</v>
      </c>
      <c r="P1111" s="244" t="s">
        <v>21</v>
      </c>
      <c r="Q1111" s="244" t="s">
        <v>22</v>
      </c>
      <c r="R1111" s="244" t="s">
        <v>23</v>
      </c>
      <c r="S1111" s="20" t="s">
        <v>24</v>
      </c>
      <c r="T1111" s="20" t="s">
        <v>25</v>
      </c>
      <c r="AM1111" s="246"/>
    </row>
    <row r="1112" spans="1:39" ht="51.75" customHeight="1" x14ac:dyDescent="0.25">
      <c r="A1112" s="307" t="s">
        <v>292</v>
      </c>
      <c r="B1112" s="17"/>
      <c r="C1112" s="279" t="s">
        <v>293</v>
      </c>
      <c r="D1112" s="19"/>
      <c r="E1112" s="26">
        <v>2025</v>
      </c>
      <c r="F1112" s="251">
        <v>5000</v>
      </c>
      <c r="G1112" s="22"/>
      <c r="H1112" s="22"/>
      <c r="I1112" s="22"/>
      <c r="J1112" s="22"/>
      <c r="K1112" s="22"/>
      <c r="L1112" s="22"/>
      <c r="M1112" s="22"/>
      <c r="N1112" s="22"/>
      <c r="O1112" s="22"/>
      <c r="P1112" s="22"/>
      <c r="Q1112" s="22"/>
      <c r="R1112" s="22"/>
      <c r="S1112" s="64">
        <f t="shared" ref="S1112:S1122" si="52">SUM(G1112:R1112)</f>
        <v>0</v>
      </c>
      <c r="T1112" s="29">
        <f>SUM(F1112*IF(E1112=_current_year,_current_month,12)-(S1112))</f>
        <v>60000</v>
      </c>
    </row>
    <row r="1113" spans="1:39" ht="51.75" customHeight="1" x14ac:dyDescent="0.25">
      <c r="A1113" s="320"/>
      <c r="B1113" s="17"/>
      <c r="C1113" s="287"/>
      <c r="D1113" s="19"/>
      <c r="E1113" s="30">
        <v>2024</v>
      </c>
      <c r="F1113" s="251">
        <v>3000</v>
      </c>
      <c r="G1113" s="22"/>
      <c r="H1113" s="22"/>
      <c r="I1113" s="22"/>
      <c r="J1113" s="22"/>
      <c r="K1113" s="22"/>
      <c r="L1113" s="22"/>
      <c r="M1113" s="22"/>
      <c r="N1113" s="22"/>
      <c r="O1113" s="22"/>
      <c r="P1113" s="22"/>
      <c r="Q1113" s="22"/>
      <c r="R1113" s="22"/>
      <c r="S1113" s="37">
        <f t="shared" si="52"/>
        <v>0</v>
      </c>
      <c r="T1113" s="22">
        <f>SUM(F1113*IF(E1113=_current_year,_current_month,12)-(S1113))</f>
        <v>36000</v>
      </c>
    </row>
    <row r="1114" spans="1:39" ht="51.75" customHeight="1" x14ac:dyDescent="0.25">
      <c r="A1114" s="320"/>
      <c r="B1114" s="17"/>
      <c r="C1114" s="315"/>
      <c r="D1114" s="19"/>
      <c r="E1114" s="30">
        <v>2023</v>
      </c>
      <c r="F1114" s="251">
        <v>3000</v>
      </c>
      <c r="G1114" s="22"/>
      <c r="H1114" s="22"/>
      <c r="I1114" s="22"/>
      <c r="J1114" s="22"/>
      <c r="K1114" s="22"/>
      <c r="L1114" s="22"/>
      <c r="M1114" s="22"/>
      <c r="N1114" s="22"/>
      <c r="O1114" s="22"/>
      <c r="P1114" s="22"/>
      <c r="Q1114" s="22"/>
      <c r="R1114" s="22"/>
      <c r="S1114" s="37">
        <f t="shared" si="52"/>
        <v>0</v>
      </c>
      <c r="T1114" s="22">
        <f>SUM(F1114*IF(E1114=_current_year,_current_month,12)-(S1114))</f>
        <v>36000</v>
      </c>
    </row>
    <row r="1115" spans="1:39" s="220" customFormat="1" ht="48" customHeight="1" x14ac:dyDescent="0.4">
      <c r="A1115" s="320"/>
      <c r="B1115" s="33" t="s">
        <v>28</v>
      </c>
      <c r="C1115" s="34"/>
      <c r="D1115" s="35"/>
      <c r="E1115" s="30">
        <v>2022</v>
      </c>
      <c r="F1115" s="251">
        <v>3000</v>
      </c>
      <c r="G1115" s="36"/>
      <c r="H1115" s="36"/>
      <c r="I1115" s="36"/>
      <c r="J1115" s="36"/>
      <c r="K1115" s="36"/>
      <c r="L1115" s="36"/>
      <c r="M1115" s="36"/>
      <c r="N1115" s="36"/>
      <c r="O1115" s="36"/>
      <c r="P1115" s="36"/>
      <c r="Q1115" s="36"/>
      <c r="R1115" s="36"/>
      <c r="S1115" s="37">
        <f t="shared" si="52"/>
        <v>0</v>
      </c>
      <c r="T1115" s="37">
        <f t="shared" ref="T1115:T1122" si="53">SUM(36000-S1115)</f>
        <v>36000</v>
      </c>
      <c r="AM1115" s="250"/>
    </row>
    <row r="1116" spans="1:39" s="220" customFormat="1" ht="48.75" customHeight="1" x14ac:dyDescent="0.4">
      <c r="A1116" s="313" t="s">
        <v>167</v>
      </c>
      <c r="B1116" s="33" t="s">
        <v>28</v>
      </c>
      <c r="C1116" s="38" t="s">
        <v>52</v>
      </c>
      <c r="D1116" s="124"/>
      <c r="E1116" s="30">
        <v>2021</v>
      </c>
      <c r="F1116" s="251">
        <v>3000</v>
      </c>
      <c r="G1116" s="36"/>
      <c r="H1116" s="36"/>
      <c r="I1116" s="36"/>
      <c r="J1116" s="36"/>
      <c r="K1116" s="36"/>
      <c r="L1116" s="36"/>
      <c r="M1116" s="36"/>
      <c r="N1116" s="36"/>
      <c r="O1116" s="36"/>
      <c r="P1116" s="36"/>
      <c r="Q1116" s="36"/>
      <c r="R1116" s="36"/>
      <c r="S1116" s="252">
        <f t="shared" si="52"/>
        <v>0</v>
      </c>
      <c r="T1116" s="252">
        <f t="shared" si="53"/>
        <v>36000</v>
      </c>
      <c r="AM1116" s="250"/>
    </row>
    <row r="1117" spans="1:39" s="258" customFormat="1" ht="67.5" customHeight="1" x14ac:dyDescent="0.45">
      <c r="A1117" s="313"/>
      <c r="B1117" s="253" t="s">
        <v>68</v>
      </c>
      <c r="C1117" s="125"/>
      <c r="D1117" s="126"/>
      <c r="E1117" s="254">
        <v>2020</v>
      </c>
      <c r="F1117" s="251">
        <v>3000</v>
      </c>
      <c r="G1117" s="302">
        <v>12000</v>
      </c>
      <c r="H1117" s="302"/>
      <c r="I1117" s="302"/>
      <c r="J1117" s="302"/>
      <c r="K1117" s="302"/>
      <c r="L1117" s="302"/>
      <c r="M1117" s="302"/>
      <c r="N1117" s="302"/>
      <c r="O1117" s="302"/>
      <c r="P1117" s="302"/>
      <c r="Q1117" s="302"/>
      <c r="R1117" s="302"/>
      <c r="S1117" s="252">
        <f t="shared" si="52"/>
        <v>12000</v>
      </c>
      <c r="T1117" s="257">
        <f t="shared" si="53"/>
        <v>24000</v>
      </c>
      <c r="AM1117" s="259"/>
    </row>
    <row r="1118" spans="1:39" s="258" customFormat="1" ht="48.75" customHeight="1" x14ac:dyDescent="0.75">
      <c r="A1118" s="409"/>
      <c r="B1118" s="253"/>
      <c r="C1118" s="125"/>
      <c r="D1118" s="126"/>
      <c r="E1118" s="254">
        <v>2019</v>
      </c>
      <c r="F1118" s="251">
        <v>3000</v>
      </c>
      <c r="G1118" s="302"/>
      <c r="H1118" s="302"/>
      <c r="I1118" s="302"/>
      <c r="J1118" s="302"/>
      <c r="K1118" s="302"/>
      <c r="L1118" s="302"/>
      <c r="M1118" s="302"/>
      <c r="N1118" s="302"/>
      <c r="O1118" s="302"/>
      <c r="P1118" s="302"/>
      <c r="Q1118" s="302"/>
      <c r="R1118" s="302"/>
      <c r="S1118" s="252">
        <f t="shared" si="52"/>
        <v>0</v>
      </c>
      <c r="T1118" s="257">
        <f t="shared" si="53"/>
        <v>36000</v>
      </c>
      <c r="AM1118" s="259"/>
    </row>
    <row r="1119" spans="1:39" s="258" customFormat="1" ht="48.75" customHeight="1" x14ac:dyDescent="0.75">
      <c r="A1119" s="409"/>
      <c r="B1119" s="253"/>
      <c r="C1119" s="125"/>
      <c r="D1119" s="126"/>
      <c r="E1119" s="254">
        <v>2018</v>
      </c>
      <c r="F1119" s="251">
        <v>3000</v>
      </c>
      <c r="G1119" s="302"/>
      <c r="H1119" s="302"/>
      <c r="I1119" s="302"/>
      <c r="J1119" s="302"/>
      <c r="K1119" s="302"/>
      <c r="L1119" s="302"/>
      <c r="M1119" s="302"/>
      <c r="N1119" s="302"/>
      <c r="O1119" s="302"/>
      <c r="P1119" s="302"/>
      <c r="Q1119" s="302"/>
      <c r="R1119" s="302"/>
      <c r="S1119" s="252">
        <f t="shared" si="52"/>
        <v>0</v>
      </c>
      <c r="T1119" s="257">
        <f t="shared" si="53"/>
        <v>36000</v>
      </c>
      <c r="AM1119" s="259"/>
    </row>
    <row r="1120" spans="1:39" s="258" customFormat="1" ht="48.75" customHeight="1" x14ac:dyDescent="0.75">
      <c r="A1120" s="409"/>
      <c r="B1120" s="253"/>
      <c r="C1120" s="125"/>
      <c r="D1120" s="126"/>
      <c r="E1120" s="254">
        <v>2017</v>
      </c>
      <c r="F1120" s="251">
        <v>3000</v>
      </c>
      <c r="G1120" s="302"/>
      <c r="H1120" s="302"/>
      <c r="I1120" s="302"/>
      <c r="J1120" s="302"/>
      <c r="K1120" s="302"/>
      <c r="L1120" s="302"/>
      <c r="M1120" s="256"/>
      <c r="N1120" s="256"/>
      <c r="O1120" s="256"/>
      <c r="P1120" s="256"/>
      <c r="Q1120" s="256"/>
      <c r="R1120" s="256"/>
      <c r="S1120" s="252">
        <f t="shared" si="52"/>
        <v>0</v>
      </c>
      <c r="T1120" s="257">
        <f t="shared" si="53"/>
        <v>36000</v>
      </c>
      <c r="AM1120" s="259"/>
    </row>
    <row r="1121" spans="1:39" s="258" customFormat="1" ht="48.75" customHeight="1" x14ac:dyDescent="0.75">
      <c r="A1121" s="409"/>
      <c r="B1121" s="253"/>
      <c r="C1121" s="125"/>
      <c r="D1121" s="126"/>
      <c r="E1121" s="254">
        <v>2016</v>
      </c>
      <c r="F1121" s="251">
        <v>3000</v>
      </c>
      <c r="G1121" s="260"/>
      <c r="H1121" s="260"/>
      <c r="I1121" s="260"/>
      <c r="J1121" s="260"/>
      <c r="K1121" s="260"/>
      <c r="L1121" s="260"/>
      <c r="M1121" s="260"/>
      <c r="N1121" s="260"/>
      <c r="O1121" s="260"/>
      <c r="P1121" s="260"/>
      <c r="Q1121" s="260"/>
      <c r="R1121" s="260"/>
      <c r="S1121" s="252">
        <f t="shared" si="52"/>
        <v>0</v>
      </c>
      <c r="T1121" s="257">
        <f t="shared" si="53"/>
        <v>36000</v>
      </c>
      <c r="AM1121" s="259"/>
    </row>
    <row r="1122" spans="1:39" s="258" customFormat="1" ht="48.75" customHeight="1" x14ac:dyDescent="0.75">
      <c r="A1122" s="410"/>
      <c r="B1122" s="253"/>
      <c r="C1122" s="129"/>
      <c r="D1122" s="130"/>
      <c r="E1122" s="254">
        <v>2015</v>
      </c>
      <c r="F1122" s="251">
        <v>3000</v>
      </c>
      <c r="G1122" s="260"/>
      <c r="H1122" s="260"/>
      <c r="I1122" s="260"/>
      <c r="J1122" s="260"/>
      <c r="K1122" s="260"/>
      <c r="L1122" s="260"/>
      <c r="M1122" s="260"/>
      <c r="N1122" s="260"/>
      <c r="O1122" s="260"/>
      <c r="P1122" s="260"/>
      <c r="Q1122" s="260"/>
      <c r="R1122" s="260"/>
      <c r="S1122" s="252">
        <f t="shared" si="52"/>
        <v>0</v>
      </c>
      <c r="T1122" s="257">
        <f t="shared" si="53"/>
        <v>36000</v>
      </c>
      <c r="AM1122" s="259"/>
    </row>
    <row r="1123" spans="1:39" s="258" customFormat="1" ht="48.75" customHeight="1" thickBot="1" x14ac:dyDescent="0.5">
      <c r="A1123" s="278"/>
      <c r="B1123" s="253"/>
      <c r="C1123" s="253"/>
      <c r="D1123" s="68"/>
      <c r="E1123" s="264"/>
      <c r="F1123" s="265"/>
      <c r="G1123" s="266"/>
      <c r="H1123" s="266"/>
      <c r="I1123" s="266"/>
      <c r="J1123" s="266"/>
      <c r="K1123" s="266"/>
      <c r="L1123" s="266"/>
      <c r="M1123" s="266"/>
      <c r="N1123" s="266"/>
      <c r="O1123" s="266"/>
      <c r="P1123" s="266"/>
      <c r="Q1123" s="266"/>
      <c r="R1123" s="266"/>
      <c r="S1123" s="267">
        <f>SUM(S1112:S1122)</f>
        <v>12000</v>
      </c>
      <c r="T1123" s="268">
        <f>SUM(T1112:T1122)</f>
        <v>408000</v>
      </c>
      <c r="AM1123" s="259"/>
    </row>
    <row r="1124" spans="1:39" s="258" customFormat="1" ht="48.75" customHeight="1" x14ac:dyDescent="0.45">
      <c r="A1124" s="278"/>
      <c r="B1124" s="253"/>
      <c r="C1124" s="253"/>
      <c r="D1124" s="68"/>
      <c r="E1124" s="253"/>
      <c r="F1124" s="253"/>
      <c r="G1124" s="253"/>
      <c r="H1124" s="253"/>
      <c r="I1124" s="253"/>
      <c r="J1124" s="253"/>
      <c r="K1124" s="253"/>
      <c r="L1124" s="253"/>
      <c r="M1124" s="253"/>
      <c r="N1124" s="253"/>
      <c r="O1124" s="253"/>
      <c r="P1124" s="253"/>
      <c r="Q1124" s="253"/>
      <c r="R1124" s="253"/>
      <c r="S1124" s="269"/>
      <c r="T1124" s="269"/>
      <c r="AM1124" s="259"/>
    </row>
    <row r="1125" spans="1:39" s="245" customFormat="1" ht="67.5" customHeight="1" x14ac:dyDescent="0.5">
      <c r="A1125" s="55" t="s">
        <v>31</v>
      </c>
      <c r="B1125" s="241" t="s">
        <v>7</v>
      </c>
      <c r="C1125" s="242" t="s">
        <v>32</v>
      </c>
      <c r="D1125" s="243" t="s">
        <v>33</v>
      </c>
      <c r="E1125" s="242" t="s">
        <v>34</v>
      </c>
      <c r="F1125" s="244" t="s">
        <v>11</v>
      </c>
      <c r="G1125" s="244" t="s">
        <v>12</v>
      </c>
      <c r="H1125" s="244" t="s">
        <v>13</v>
      </c>
      <c r="I1125" s="244" t="s">
        <v>14</v>
      </c>
      <c r="J1125" s="244" t="s">
        <v>15</v>
      </c>
      <c r="K1125" s="244" t="s">
        <v>16</v>
      </c>
      <c r="L1125" s="244" t="s">
        <v>17</v>
      </c>
      <c r="M1125" s="244" t="s">
        <v>18</v>
      </c>
      <c r="N1125" s="244" t="s">
        <v>19</v>
      </c>
      <c r="O1125" s="244" t="s">
        <v>20</v>
      </c>
      <c r="P1125" s="244" t="s">
        <v>21</v>
      </c>
      <c r="Q1125" s="244" t="s">
        <v>22</v>
      </c>
      <c r="R1125" s="244" t="s">
        <v>23</v>
      </c>
      <c r="S1125" s="20" t="s">
        <v>24</v>
      </c>
      <c r="T1125" s="20" t="s">
        <v>25</v>
      </c>
      <c r="AM1125" s="246"/>
    </row>
    <row r="1126" spans="1:39" ht="51.75" customHeight="1" x14ac:dyDescent="0.25">
      <c r="A1126" s="307">
        <v>33</v>
      </c>
      <c r="B1126" s="17"/>
      <c r="C1126" s="279" t="s">
        <v>294</v>
      </c>
      <c r="D1126" s="19"/>
      <c r="E1126" s="26">
        <v>2025</v>
      </c>
      <c r="F1126" s="27">
        <v>10000</v>
      </c>
      <c r="G1126" s="22"/>
      <c r="H1126" s="22"/>
      <c r="I1126" s="22"/>
      <c r="J1126" s="22"/>
      <c r="K1126" s="22"/>
      <c r="L1126" s="22">
        <v>30000</v>
      </c>
      <c r="M1126" s="22"/>
      <c r="N1126" s="22">
        <v>150000</v>
      </c>
      <c r="O1126" s="22"/>
      <c r="P1126" s="22"/>
      <c r="Q1126" s="22"/>
      <c r="R1126" s="22"/>
      <c r="S1126" s="64">
        <f t="shared" ref="S1126:S1136" si="54">SUM(G1126:R1126)</f>
        <v>180000</v>
      </c>
      <c r="T1126" s="29">
        <f>SUM(F1126*IF(E1126=_current_year,_current_month,12)-(S1126))</f>
        <v>-60000</v>
      </c>
    </row>
    <row r="1127" spans="1:39" ht="51.75" customHeight="1" x14ac:dyDescent="0.25">
      <c r="A1127" s="320"/>
      <c r="B1127" s="17"/>
      <c r="C1127" s="460"/>
      <c r="D1127" s="19"/>
      <c r="E1127" s="30">
        <v>2024</v>
      </c>
      <c r="F1127" s="27">
        <v>5000</v>
      </c>
      <c r="G1127" s="22"/>
      <c r="H1127" s="22"/>
      <c r="I1127" s="22"/>
      <c r="J1127" s="22">
        <v>150000</v>
      </c>
      <c r="K1127" s="22"/>
      <c r="L1127" s="22">
        <v>50000</v>
      </c>
      <c r="M1127" s="22"/>
      <c r="N1127" s="22"/>
      <c r="O1127" s="22"/>
      <c r="P1127" s="22"/>
      <c r="Q1127" s="22"/>
      <c r="R1127" s="22"/>
      <c r="S1127" s="37">
        <f t="shared" si="54"/>
        <v>200000</v>
      </c>
      <c r="T1127" s="22">
        <f>SUM(F1127*12)-(S1127)</f>
        <v>-140000</v>
      </c>
    </row>
    <row r="1128" spans="1:39" ht="51.75" customHeight="1" x14ac:dyDescent="0.25">
      <c r="A1128" s="320"/>
      <c r="B1128" s="17"/>
      <c r="C1128" s="287"/>
      <c r="D1128" s="19"/>
      <c r="E1128" s="30">
        <v>2023</v>
      </c>
      <c r="F1128" s="27">
        <v>5000</v>
      </c>
      <c r="G1128" s="22"/>
      <c r="H1128" s="22"/>
      <c r="I1128" s="22"/>
      <c r="J1128" s="22"/>
      <c r="K1128" s="22"/>
      <c r="L1128" s="22"/>
      <c r="M1128" s="461">
        <v>50000</v>
      </c>
      <c r="N1128" s="22"/>
      <c r="O1128" s="22"/>
      <c r="P1128" s="22"/>
      <c r="Q1128" s="22"/>
      <c r="R1128" s="22"/>
      <c r="S1128" s="37">
        <f t="shared" si="54"/>
        <v>50000</v>
      </c>
      <c r="T1128" s="22">
        <f>SUM(F1128*12)-(S1128)</f>
        <v>10000</v>
      </c>
    </row>
    <row r="1129" spans="1:39" s="220" customFormat="1" ht="48" customHeight="1" x14ac:dyDescent="0.4">
      <c r="A1129" s="320"/>
      <c r="B1129" s="33" t="s">
        <v>28</v>
      </c>
      <c r="C1129" s="85" t="s">
        <v>295</v>
      </c>
      <c r="D1129" s="35"/>
      <c r="E1129" s="30">
        <v>2022</v>
      </c>
      <c r="F1129" s="27">
        <v>5000</v>
      </c>
      <c r="G1129" s="36"/>
      <c r="H1129" s="36"/>
      <c r="I1129" s="36"/>
      <c r="J1129" s="36"/>
      <c r="K1129" s="36"/>
      <c r="L1129" s="36"/>
      <c r="M1129" s="36"/>
      <c r="N1129" s="36"/>
      <c r="O1129" s="36"/>
      <c r="P1129" s="36"/>
      <c r="Q1129" s="36"/>
      <c r="R1129" s="36"/>
      <c r="S1129" s="37">
        <f t="shared" si="54"/>
        <v>0</v>
      </c>
      <c r="T1129" s="37">
        <f t="shared" ref="T1129:T1136" si="55">SUM(60000-S1129)</f>
        <v>60000</v>
      </c>
      <c r="AM1129" s="250"/>
    </row>
    <row r="1130" spans="1:39" s="220" customFormat="1" ht="48.75" customHeight="1" x14ac:dyDescent="0.4">
      <c r="A1130" s="313" t="s">
        <v>167</v>
      </c>
      <c r="B1130" s="33" t="s">
        <v>28</v>
      </c>
      <c r="C1130" s="38" t="s">
        <v>52</v>
      </c>
      <c r="D1130" s="124"/>
      <c r="E1130" s="30">
        <v>2021</v>
      </c>
      <c r="F1130" s="251">
        <v>5000</v>
      </c>
      <c r="G1130" s="36"/>
      <c r="H1130" s="36"/>
      <c r="I1130" s="36"/>
      <c r="J1130" s="36"/>
      <c r="K1130" s="36"/>
      <c r="L1130" s="36"/>
      <c r="M1130" s="36"/>
      <c r="N1130" s="36"/>
      <c r="O1130" s="36"/>
      <c r="P1130" s="36"/>
      <c r="Q1130" s="36"/>
      <c r="R1130" s="36"/>
      <c r="S1130" s="252">
        <f t="shared" si="54"/>
        <v>0</v>
      </c>
      <c r="T1130" s="252">
        <f t="shared" si="55"/>
        <v>60000</v>
      </c>
      <c r="AM1130" s="250"/>
    </row>
    <row r="1131" spans="1:39" s="258" customFormat="1" ht="48.75" customHeight="1" x14ac:dyDescent="0.45">
      <c r="A1131" s="313"/>
      <c r="B1131" s="253" t="s">
        <v>28</v>
      </c>
      <c r="C1131" s="125"/>
      <c r="D1131" s="126"/>
      <c r="E1131" s="254">
        <v>2020</v>
      </c>
      <c r="F1131" s="251">
        <v>5000</v>
      </c>
      <c r="G1131" s="302"/>
      <c r="H1131" s="302"/>
      <c r="I1131" s="302"/>
      <c r="J1131" s="302"/>
      <c r="K1131" s="302"/>
      <c r="L1131" s="302"/>
      <c r="M1131" s="302"/>
      <c r="N1131" s="302"/>
      <c r="O1131" s="302"/>
      <c r="P1131" s="302"/>
      <c r="Q1131" s="302"/>
      <c r="R1131" s="302"/>
      <c r="S1131" s="252">
        <f t="shared" si="54"/>
        <v>0</v>
      </c>
      <c r="T1131" s="257">
        <f t="shared" si="55"/>
        <v>60000</v>
      </c>
      <c r="AM1131" s="259"/>
    </row>
    <row r="1132" spans="1:39" s="258" customFormat="1" ht="48.75" customHeight="1" x14ac:dyDescent="0.75">
      <c r="A1132" s="462"/>
      <c r="B1132" s="253"/>
      <c r="C1132" s="125"/>
      <c r="D1132" s="126"/>
      <c r="E1132" s="254">
        <v>2019</v>
      </c>
      <c r="F1132" s="251">
        <v>5000</v>
      </c>
      <c r="G1132" s="302"/>
      <c r="H1132" s="302"/>
      <c r="I1132" s="302"/>
      <c r="J1132" s="302"/>
      <c r="K1132" s="302"/>
      <c r="L1132" s="302"/>
      <c r="M1132" s="302"/>
      <c r="N1132" s="302"/>
      <c r="O1132" s="302"/>
      <c r="P1132" s="302"/>
      <c r="Q1132" s="302"/>
      <c r="R1132" s="302"/>
      <c r="S1132" s="252">
        <f t="shared" si="54"/>
        <v>0</v>
      </c>
      <c r="T1132" s="257">
        <f t="shared" si="55"/>
        <v>60000</v>
      </c>
      <c r="AM1132" s="259"/>
    </row>
    <row r="1133" spans="1:39" s="258" customFormat="1" ht="48.75" customHeight="1" x14ac:dyDescent="0.75">
      <c r="A1133" s="409"/>
      <c r="B1133" s="253"/>
      <c r="C1133" s="125"/>
      <c r="D1133" s="126"/>
      <c r="E1133" s="254">
        <v>2018</v>
      </c>
      <c r="F1133" s="251">
        <v>5000</v>
      </c>
      <c r="G1133" s="302"/>
      <c r="H1133" s="302"/>
      <c r="I1133" s="302"/>
      <c r="J1133" s="302"/>
      <c r="K1133" s="302"/>
      <c r="L1133" s="302"/>
      <c r="M1133" s="302"/>
      <c r="N1133" s="302"/>
      <c r="O1133" s="302"/>
      <c r="P1133" s="302"/>
      <c r="Q1133" s="302"/>
      <c r="R1133" s="302"/>
      <c r="S1133" s="252">
        <f t="shared" si="54"/>
        <v>0</v>
      </c>
      <c r="T1133" s="257">
        <f t="shared" si="55"/>
        <v>60000</v>
      </c>
      <c r="AM1133" s="259"/>
    </row>
    <row r="1134" spans="1:39" s="258" customFormat="1" ht="48.75" customHeight="1" x14ac:dyDescent="0.75">
      <c r="A1134" s="409"/>
      <c r="B1134" s="253"/>
      <c r="C1134" s="125"/>
      <c r="D1134" s="126"/>
      <c r="E1134" s="254">
        <v>2017</v>
      </c>
      <c r="F1134" s="251">
        <v>5000</v>
      </c>
      <c r="G1134" s="302"/>
      <c r="H1134" s="302"/>
      <c r="I1134" s="302"/>
      <c r="J1134" s="302"/>
      <c r="K1134" s="302"/>
      <c r="L1134" s="302"/>
      <c r="M1134" s="256"/>
      <c r="N1134" s="256"/>
      <c r="O1134" s="256"/>
      <c r="P1134" s="256"/>
      <c r="Q1134" s="256"/>
      <c r="R1134" s="256"/>
      <c r="S1134" s="252">
        <f t="shared" si="54"/>
        <v>0</v>
      </c>
      <c r="T1134" s="257">
        <f t="shared" si="55"/>
        <v>60000</v>
      </c>
      <c r="AM1134" s="259"/>
    </row>
    <row r="1135" spans="1:39" s="258" customFormat="1" ht="48.75" customHeight="1" x14ac:dyDescent="0.75">
      <c r="A1135" s="409"/>
      <c r="B1135" s="253"/>
      <c r="C1135" s="125"/>
      <c r="D1135" s="126"/>
      <c r="E1135" s="254">
        <v>2016</v>
      </c>
      <c r="F1135" s="251">
        <v>5000</v>
      </c>
      <c r="G1135" s="260"/>
      <c r="H1135" s="260"/>
      <c r="I1135" s="260"/>
      <c r="J1135" s="260"/>
      <c r="K1135" s="260"/>
      <c r="L1135" s="260"/>
      <c r="M1135" s="260"/>
      <c r="N1135" s="260"/>
      <c r="O1135" s="260"/>
      <c r="P1135" s="260"/>
      <c r="Q1135" s="260"/>
      <c r="R1135" s="260"/>
      <c r="S1135" s="252">
        <f t="shared" si="54"/>
        <v>0</v>
      </c>
      <c r="T1135" s="257">
        <f t="shared" si="55"/>
        <v>60000</v>
      </c>
      <c r="AM1135" s="259"/>
    </row>
    <row r="1136" spans="1:39" s="258" customFormat="1" ht="48.75" customHeight="1" x14ac:dyDescent="0.75">
      <c r="A1136" s="410"/>
      <c r="B1136" s="253"/>
      <c r="C1136" s="129"/>
      <c r="D1136" s="130"/>
      <c r="E1136" s="254">
        <v>2015</v>
      </c>
      <c r="F1136" s="251">
        <v>5000</v>
      </c>
      <c r="G1136" s="260"/>
      <c r="H1136" s="260"/>
      <c r="I1136" s="260"/>
      <c r="J1136" s="260"/>
      <c r="K1136" s="260"/>
      <c r="L1136" s="260"/>
      <c r="M1136" s="260"/>
      <c r="N1136" s="260"/>
      <c r="O1136" s="260"/>
      <c r="P1136" s="260"/>
      <c r="Q1136" s="260"/>
      <c r="R1136" s="260"/>
      <c r="S1136" s="252">
        <f t="shared" si="54"/>
        <v>0</v>
      </c>
      <c r="T1136" s="257">
        <f t="shared" si="55"/>
        <v>60000</v>
      </c>
      <c r="AM1136" s="259"/>
    </row>
    <row r="1137" spans="1:39" s="258" customFormat="1" ht="48.75" customHeight="1" thickBot="1" x14ac:dyDescent="0.5">
      <c r="A1137" s="278"/>
      <c r="B1137" s="253"/>
      <c r="C1137" s="253"/>
      <c r="D1137" s="68"/>
      <c r="E1137" s="264"/>
      <c r="F1137" s="265"/>
      <c r="G1137" s="266"/>
      <c r="H1137" s="266"/>
      <c r="I1137" s="266"/>
      <c r="J1137" s="266"/>
      <c r="K1137" s="266"/>
      <c r="L1137" s="266"/>
      <c r="M1137" s="266"/>
      <c r="N1137" s="266"/>
      <c r="O1137" s="266"/>
      <c r="P1137" s="266"/>
      <c r="Q1137" s="266"/>
      <c r="R1137" s="266"/>
      <c r="S1137" s="267">
        <f>SUM(S1126:S1136)</f>
        <v>430000</v>
      </c>
      <c r="T1137" s="268">
        <f>SUM(T1126:T1136)</f>
        <v>290000</v>
      </c>
      <c r="AM1137" s="259"/>
    </row>
    <row r="1138" spans="1:39" s="258" customFormat="1" ht="48.75" customHeight="1" x14ac:dyDescent="0.45">
      <c r="A1138" s="278"/>
      <c r="B1138" s="253"/>
      <c r="C1138" s="253"/>
      <c r="D1138" s="68"/>
      <c r="E1138" s="253"/>
      <c r="F1138" s="253"/>
      <c r="G1138" s="253"/>
      <c r="H1138" s="253"/>
      <c r="I1138" s="253"/>
      <c r="J1138" s="253"/>
      <c r="K1138" s="253"/>
      <c r="L1138" s="253"/>
      <c r="M1138" s="253"/>
      <c r="N1138" s="253"/>
      <c r="O1138" s="253"/>
      <c r="P1138" s="253"/>
      <c r="Q1138" s="253"/>
      <c r="R1138" s="253"/>
      <c r="S1138" s="269"/>
      <c r="T1138" s="269"/>
      <c r="AM1138" s="259"/>
    </row>
    <row r="1139" spans="1:39" s="258" customFormat="1" ht="48.75" customHeight="1" x14ac:dyDescent="0.45">
      <c r="A1139" s="278"/>
      <c r="B1139" s="253"/>
      <c r="C1139" s="253"/>
      <c r="D1139" s="68"/>
      <c r="E1139" s="253"/>
      <c r="F1139" s="253"/>
      <c r="G1139" s="253"/>
      <c r="H1139" s="253"/>
      <c r="I1139" s="253"/>
      <c r="J1139" s="253"/>
      <c r="K1139" s="253"/>
      <c r="L1139" s="253"/>
      <c r="M1139" s="253"/>
      <c r="N1139" s="253"/>
      <c r="O1139" s="253"/>
      <c r="P1139" s="253"/>
      <c r="Q1139" s="253"/>
      <c r="R1139" s="253"/>
      <c r="S1139" s="269"/>
      <c r="T1139" s="269"/>
      <c r="AM1139" s="259"/>
    </row>
    <row r="1140" spans="1:39" s="245" customFormat="1" ht="63" customHeight="1" x14ac:dyDescent="0.5">
      <c r="A1140" s="55" t="s">
        <v>31</v>
      </c>
      <c r="B1140" s="241" t="s">
        <v>7</v>
      </c>
      <c r="C1140" s="242" t="s">
        <v>32</v>
      </c>
      <c r="D1140" s="243" t="s">
        <v>33</v>
      </c>
      <c r="E1140" s="242" t="s">
        <v>34</v>
      </c>
      <c r="F1140" s="244" t="s">
        <v>11</v>
      </c>
      <c r="G1140" s="244" t="s">
        <v>12</v>
      </c>
      <c r="H1140" s="244" t="s">
        <v>13</v>
      </c>
      <c r="I1140" s="244" t="s">
        <v>14</v>
      </c>
      <c r="J1140" s="244" t="s">
        <v>15</v>
      </c>
      <c r="K1140" s="244" t="s">
        <v>16</v>
      </c>
      <c r="L1140" s="244" t="s">
        <v>17</v>
      </c>
      <c r="M1140" s="244" t="s">
        <v>18</v>
      </c>
      <c r="N1140" s="244" t="s">
        <v>19</v>
      </c>
      <c r="O1140" s="244" t="s">
        <v>20</v>
      </c>
      <c r="P1140" s="244" t="s">
        <v>21</v>
      </c>
      <c r="Q1140" s="244" t="s">
        <v>22</v>
      </c>
      <c r="R1140" s="244" t="s">
        <v>23</v>
      </c>
      <c r="S1140" s="20" t="s">
        <v>24</v>
      </c>
      <c r="T1140" s="20" t="s">
        <v>25</v>
      </c>
      <c r="AM1140" s="246"/>
    </row>
    <row r="1141" spans="1:39" ht="51.75" customHeight="1" x14ac:dyDescent="0.25">
      <c r="A1141" s="307">
        <v>32</v>
      </c>
      <c r="B1141" s="17"/>
      <c r="C1141" s="279" t="s">
        <v>296</v>
      </c>
      <c r="D1141" s="19"/>
      <c r="E1141" s="26">
        <v>2025</v>
      </c>
      <c r="F1141" s="27">
        <v>10000</v>
      </c>
      <c r="G1141" s="22"/>
      <c r="H1141" s="22">
        <v>50000</v>
      </c>
      <c r="I1141" s="22"/>
      <c r="J1141" s="22"/>
      <c r="K1141" s="22"/>
      <c r="L1141" s="22"/>
      <c r="M1141" s="22">
        <v>90000</v>
      </c>
      <c r="N1141" s="22"/>
      <c r="O1141" s="22"/>
      <c r="P1141" s="22"/>
      <c r="Q1141" s="22"/>
      <c r="R1141" s="22"/>
      <c r="S1141" s="64">
        <f t="shared" ref="S1141:S1151" si="56">SUM(G1141:R1141)</f>
        <v>140000</v>
      </c>
      <c r="T1141" s="29">
        <f>SUM(F1141*IF(E1141=_current_year,_current_month,12)-(S1141))</f>
        <v>-20000</v>
      </c>
    </row>
    <row r="1142" spans="1:39" ht="51.75" customHeight="1" x14ac:dyDescent="0.25">
      <c r="A1142" s="320"/>
      <c r="B1142" s="17"/>
      <c r="C1142" s="287"/>
      <c r="D1142" s="19"/>
      <c r="E1142" s="30">
        <v>2024</v>
      </c>
      <c r="F1142" s="27">
        <v>5000</v>
      </c>
      <c r="G1142" s="22"/>
      <c r="H1142" s="22">
        <v>20000</v>
      </c>
      <c r="I1142" s="22"/>
      <c r="J1142" s="22"/>
      <c r="K1142" s="22"/>
      <c r="L1142" s="22"/>
      <c r="M1142" s="22"/>
      <c r="N1142" s="22"/>
      <c r="O1142" s="22">
        <v>5000</v>
      </c>
      <c r="P1142" s="22"/>
      <c r="Q1142" s="22"/>
      <c r="R1142" s="22"/>
      <c r="S1142" s="37">
        <f t="shared" si="56"/>
        <v>25000</v>
      </c>
      <c r="T1142" s="22">
        <f>SUM(F1142*IF(E1142=_current_year,_current_month,12)-(S1142))</f>
        <v>35000</v>
      </c>
    </row>
    <row r="1143" spans="1:39" ht="51.75" customHeight="1" x14ac:dyDescent="0.25">
      <c r="A1143" s="320"/>
      <c r="B1143" s="17"/>
      <c r="C1143" s="315"/>
      <c r="D1143" s="19"/>
      <c r="E1143" s="30">
        <v>2023</v>
      </c>
      <c r="F1143" s="27">
        <v>5000</v>
      </c>
      <c r="G1143" s="22"/>
      <c r="H1143" s="22"/>
      <c r="I1143" s="22">
        <v>30000</v>
      </c>
      <c r="J1143" s="22"/>
      <c r="K1143" s="22"/>
      <c r="L1143" s="22"/>
      <c r="M1143" s="22">
        <v>40000</v>
      </c>
      <c r="N1143" s="22"/>
      <c r="O1143" s="22"/>
      <c r="P1143" s="22"/>
      <c r="Q1143" s="22"/>
      <c r="R1143" s="22"/>
      <c r="S1143" s="37">
        <f t="shared" si="56"/>
        <v>70000</v>
      </c>
      <c r="T1143" s="22">
        <f>SUM(F1143*IF(E1143=_current_year,_current_month,12)-(S1143))</f>
        <v>-10000</v>
      </c>
    </row>
    <row r="1144" spans="1:39" s="220" customFormat="1" ht="48" customHeight="1" x14ac:dyDescent="0.4">
      <c r="A1144" s="320"/>
      <c r="B1144" s="33" t="s">
        <v>28</v>
      </c>
      <c r="C1144" s="463" t="s">
        <v>297</v>
      </c>
      <c r="D1144" s="35"/>
      <c r="E1144" s="30">
        <v>2022</v>
      </c>
      <c r="F1144" s="27">
        <v>5000</v>
      </c>
      <c r="G1144" s="36"/>
      <c r="H1144" s="36">
        <v>50000</v>
      </c>
      <c r="I1144" s="36"/>
      <c r="J1144" s="36"/>
      <c r="K1144" s="36"/>
      <c r="L1144" s="36"/>
      <c r="M1144" s="36"/>
      <c r="N1144" s="36"/>
      <c r="O1144" s="36"/>
      <c r="P1144" s="36"/>
      <c r="Q1144" s="36"/>
      <c r="R1144" s="36">
        <v>10000</v>
      </c>
      <c r="S1144" s="37">
        <f t="shared" si="56"/>
        <v>60000</v>
      </c>
      <c r="T1144" s="37">
        <f t="shared" ref="T1144:T1151" si="57">SUM(60000-S1144)</f>
        <v>0</v>
      </c>
      <c r="AM1144" s="250"/>
    </row>
    <row r="1145" spans="1:39" s="220" customFormat="1" ht="48.75" customHeight="1" x14ac:dyDescent="0.4">
      <c r="A1145" s="313" t="s">
        <v>167</v>
      </c>
      <c r="B1145" s="33" t="s">
        <v>28</v>
      </c>
      <c r="C1145" s="38" t="s">
        <v>52</v>
      </c>
      <c r="D1145" s="124"/>
      <c r="E1145" s="30">
        <v>2021</v>
      </c>
      <c r="F1145" s="251">
        <v>5000</v>
      </c>
      <c r="G1145" s="36"/>
      <c r="H1145" s="36"/>
      <c r="I1145" s="36"/>
      <c r="J1145" s="36"/>
      <c r="K1145" s="36"/>
      <c r="L1145" s="36"/>
      <c r="M1145" s="36"/>
      <c r="N1145" s="36"/>
      <c r="O1145" s="36"/>
      <c r="P1145" s="36">
        <v>50000</v>
      </c>
      <c r="Q1145" s="36"/>
      <c r="R1145" s="36"/>
      <c r="S1145" s="252">
        <f t="shared" si="56"/>
        <v>50000</v>
      </c>
      <c r="T1145" s="252">
        <f t="shared" si="57"/>
        <v>10000</v>
      </c>
      <c r="AM1145" s="250"/>
    </row>
    <row r="1146" spans="1:39" s="258" customFormat="1" ht="48.75" customHeight="1" x14ac:dyDescent="0.45">
      <c r="A1146" s="313"/>
      <c r="B1146" s="253" t="s">
        <v>28</v>
      </c>
      <c r="C1146" s="125"/>
      <c r="D1146" s="126"/>
      <c r="E1146" s="254">
        <v>2020</v>
      </c>
      <c r="F1146" s="251">
        <v>5000</v>
      </c>
      <c r="G1146" s="302">
        <v>20000</v>
      </c>
      <c r="H1146" s="302"/>
      <c r="I1146" s="302"/>
      <c r="J1146" s="302"/>
      <c r="K1146" s="302"/>
      <c r="L1146" s="302"/>
      <c r="M1146" s="302"/>
      <c r="N1146" s="302"/>
      <c r="O1146" s="302"/>
      <c r="P1146" s="302"/>
      <c r="Q1146" s="302"/>
      <c r="R1146" s="302"/>
      <c r="S1146" s="252">
        <f t="shared" si="56"/>
        <v>20000</v>
      </c>
      <c r="T1146" s="257">
        <f t="shared" si="57"/>
        <v>40000</v>
      </c>
      <c r="AM1146" s="259"/>
    </row>
    <row r="1147" spans="1:39" s="258" customFormat="1" ht="48.75" customHeight="1" x14ac:dyDescent="0.75">
      <c r="A1147" s="409"/>
      <c r="B1147" s="253"/>
      <c r="C1147" s="125"/>
      <c r="D1147" s="126"/>
      <c r="E1147" s="254">
        <v>2019</v>
      </c>
      <c r="F1147" s="251">
        <v>5000</v>
      </c>
      <c r="G1147" s="302"/>
      <c r="H1147" s="302"/>
      <c r="I1147" s="302">
        <v>30000</v>
      </c>
      <c r="J1147" s="302"/>
      <c r="K1147" s="302"/>
      <c r="L1147" s="302"/>
      <c r="M1147" s="302"/>
      <c r="N1147" s="302"/>
      <c r="O1147" s="302"/>
      <c r="P1147" s="302"/>
      <c r="Q1147" s="302"/>
      <c r="R1147" s="302"/>
      <c r="S1147" s="252">
        <f t="shared" si="56"/>
        <v>30000</v>
      </c>
      <c r="T1147" s="257">
        <f t="shared" si="57"/>
        <v>30000</v>
      </c>
      <c r="AM1147" s="259"/>
    </row>
    <row r="1148" spans="1:39" s="258" customFormat="1" ht="48.75" customHeight="1" x14ac:dyDescent="0.75">
      <c r="A1148" s="409"/>
      <c r="B1148" s="253"/>
      <c r="C1148" s="125"/>
      <c r="D1148" s="126"/>
      <c r="E1148" s="254">
        <v>2018</v>
      </c>
      <c r="F1148" s="251">
        <v>5000</v>
      </c>
      <c r="G1148" s="302"/>
      <c r="H1148" s="302"/>
      <c r="I1148" s="302"/>
      <c r="J1148" s="302"/>
      <c r="K1148" s="302"/>
      <c r="L1148" s="302"/>
      <c r="M1148" s="302"/>
      <c r="N1148" s="302">
        <v>50000</v>
      </c>
      <c r="O1148" s="302"/>
      <c r="P1148" s="302"/>
      <c r="Q1148" s="302"/>
      <c r="R1148" s="302"/>
      <c r="S1148" s="252">
        <f t="shared" si="56"/>
        <v>50000</v>
      </c>
      <c r="T1148" s="257">
        <f t="shared" si="57"/>
        <v>10000</v>
      </c>
      <c r="AM1148" s="259"/>
    </row>
    <row r="1149" spans="1:39" s="258" customFormat="1" ht="48.75" customHeight="1" x14ac:dyDescent="0.75">
      <c r="A1149" s="409"/>
      <c r="B1149" s="253"/>
      <c r="C1149" s="125"/>
      <c r="D1149" s="126"/>
      <c r="E1149" s="254">
        <v>2017</v>
      </c>
      <c r="F1149" s="251">
        <v>5000</v>
      </c>
      <c r="G1149" s="302"/>
      <c r="H1149" s="302"/>
      <c r="I1149" s="302"/>
      <c r="J1149" s="302"/>
      <c r="K1149" s="302"/>
      <c r="L1149" s="302"/>
      <c r="M1149" s="256"/>
      <c r="N1149" s="256"/>
      <c r="O1149" s="256"/>
      <c r="P1149" s="256"/>
      <c r="Q1149" s="256"/>
      <c r="R1149" s="256"/>
      <c r="S1149" s="252">
        <f t="shared" si="56"/>
        <v>0</v>
      </c>
      <c r="T1149" s="257">
        <f t="shared" si="57"/>
        <v>60000</v>
      </c>
      <c r="AM1149" s="259"/>
    </row>
    <row r="1150" spans="1:39" s="258" customFormat="1" ht="48.75" customHeight="1" x14ac:dyDescent="0.75">
      <c r="A1150" s="409"/>
      <c r="B1150" s="253"/>
      <c r="C1150" s="125"/>
      <c r="D1150" s="126"/>
      <c r="E1150" s="254">
        <v>2016</v>
      </c>
      <c r="F1150" s="251">
        <v>5000</v>
      </c>
      <c r="G1150" s="260">
        <v>10000</v>
      </c>
      <c r="H1150" s="260"/>
      <c r="I1150" s="260"/>
      <c r="J1150" s="260"/>
      <c r="K1150" s="260"/>
      <c r="L1150" s="260"/>
      <c r="M1150" s="260"/>
      <c r="N1150" s="260"/>
      <c r="O1150" s="260"/>
      <c r="P1150" s="260"/>
      <c r="Q1150" s="260"/>
      <c r="R1150" s="260"/>
      <c r="S1150" s="252">
        <f t="shared" si="56"/>
        <v>10000</v>
      </c>
      <c r="T1150" s="257">
        <f t="shared" si="57"/>
        <v>50000</v>
      </c>
      <c r="AM1150" s="259"/>
    </row>
    <row r="1151" spans="1:39" s="258" customFormat="1" ht="48.75" customHeight="1" x14ac:dyDescent="0.75">
      <c r="A1151" s="410"/>
      <c r="B1151" s="253"/>
      <c r="C1151" s="129"/>
      <c r="D1151" s="130"/>
      <c r="E1151" s="254">
        <v>2015</v>
      </c>
      <c r="F1151" s="251">
        <v>5000</v>
      </c>
      <c r="G1151" s="260"/>
      <c r="H1151" s="260"/>
      <c r="I1151" s="260"/>
      <c r="J1151" s="260"/>
      <c r="K1151" s="260"/>
      <c r="L1151" s="260">
        <v>20000</v>
      </c>
      <c r="M1151" s="260"/>
      <c r="N1151" s="260"/>
      <c r="O1151" s="260"/>
      <c r="P1151" s="260"/>
      <c r="Q1151" s="260"/>
      <c r="R1151" s="260"/>
      <c r="S1151" s="252">
        <f t="shared" si="56"/>
        <v>20000</v>
      </c>
      <c r="T1151" s="257">
        <f t="shared" si="57"/>
        <v>40000</v>
      </c>
      <c r="AM1151" s="259"/>
    </row>
    <row r="1152" spans="1:39" s="258" customFormat="1" ht="48.75" customHeight="1" thickBot="1" x14ac:dyDescent="0.5">
      <c r="A1152" s="278"/>
      <c r="B1152" s="253"/>
      <c r="C1152" s="253"/>
      <c r="D1152" s="68"/>
      <c r="E1152" s="264"/>
      <c r="F1152" s="265"/>
      <c r="G1152" s="266"/>
      <c r="H1152" s="266"/>
      <c r="I1152" s="266"/>
      <c r="J1152" s="266"/>
      <c r="K1152" s="266"/>
      <c r="L1152" s="266"/>
      <c r="M1152" s="266"/>
      <c r="N1152" s="266"/>
      <c r="O1152" s="266"/>
      <c r="P1152" s="266"/>
      <c r="Q1152" s="266"/>
      <c r="R1152" s="266"/>
      <c r="S1152" s="267">
        <f>SUM(S1141:S1151)</f>
        <v>475000</v>
      </c>
      <c r="T1152" s="268">
        <f>SUM(T1141:T1151)</f>
        <v>245000</v>
      </c>
      <c r="AM1152" s="259"/>
    </row>
    <row r="1153" spans="1:39" s="258" customFormat="1" ht="48.75" customHeight="1" x14ac:dyDescent="0.45">
      <c r="A1153" s="278"/>
      <c r="B1153" s="253"/>
      <c r="C1153" s="253"/>
      <c r="D1153" s="68"/>
      <c r="E1153" s="253"/>
      <c r="F1153" s="253"/>
      <c r="G1153" s="253"/>
      <c r="H1153" s="253"/>
      <c r="I1153" s="253"/>
      <c r="J1153" s="253"/>
      <c r="K1153" s="253"/>
      <c r="L1153" s="253"/>
      <c r="M1153" s="253"/>
      <c r="N1153" s="253"/>
      <c r="O1153" s="253"/>
      <c r="P1153" s="253"/>
      <c r="Q1153" s="253"/>
      <c r="R1153" s="253"/>
      <c r="S1153" s="269"/>
      <c r="T1153" s="269"/>
      <c r="AM1153" s="259"/>
    </row>
    <row r="1154" spans="1:39" s="245" customFormat="1" ht="59.25" customHeight="1" x14ac:dyDescent="0.5">
      <c r="A1154" s="55" t="s">
        <v>31</v>
      </c>
      <c r="B1154" s="241" t="s">
        <v>7</v>
      </c>
      <c r="C1154" s="242" t="s">
        <v>32</v>
      </c>
      <c r="D1154" s="243" t="s">
        <v>33</v>
      </c>
      <c r="E1154" s="242" t="s">
        <v>34</v>
      </c>
      <c r="F1154" s="244" t="s">
        <v>11</v>
      </c>
      <c r="G1154" s="244" t="s">
        <v>12</v>
      </c>
      <c r="H1154" s="244" t="s">
        <v>13</v>
      </c>
      <c r="I1154" s="244" t="s">
        <v>14</v>
      </c>
      <c r="J1154" s="244" t="s">
        <v>15</v>
      </c>
      <c r="K1154" s="244" t="s">
        <v>16</v>
      </c>
      <c r="L1154" s="244" t="s">
        <v>17</v>
      </c>
      <c r="M1154" s="244" t="s">
        <v>18</v>
      </c>
      <c r="N1154" s="244" t="s">
        <v>19</v>
      </c>
      <c r="O1154" s="244" t="s">
        <v>20</v>
      </c>
      <c r="P1154" s="244" t="s">
        <v>21</v>
      </c>
      <c r="Q1154" s="244" t="s">
        <v>22</v>
      </c>
      <c r="R1154" s="244" t="s">
        <v>23</v>
      </c>
      <c r="S1154" s="20" t="s">
        <v>24</v>
      </c>
      <c r="T1154" s="20" t="s">
        <v>25</v>
      </c>
      <c r="AM1154" s="246"/>
    </row>
    <row r="1155" spans="1:39" ht="51.75" customHeight="1" x14ac:dyDescent="0.25">
      <c r="A1155" s="54"/>
      <c r="B1155" s="17"/>
      <c r="C1155" s="464" t="s">
        <v>298</v>
      </c>
      <c r="D1155" s="19"/>
      <c r="E1155" s="26">
        <v>2025</v>
      </c>
      <c r="F1155" s="27">
        <v>10000</v>
      </c>
      <c r="G1155" s="22"/>
      <c r="H1155" s="22"/>
      <c r="I1155" s="22"/>
      <c r="J1155" s="22"/>
      <c r="K1155" s="22"/>
      <c r="L1155" s="22"/>
      <c r="M1155" s="22"/>
      <c r="N1155" s="22"/>
      <c r="O1155" s="22"/>
      <c r="P1155" s="22"/>
      <c r="Q1155" s="22"/>
      <c r="R1155" s="22"/>
      <c r="S1155" s="64">
        <f t="shared" ref="S1155" si="58">SUM(G1155:R1155)</f>
        <v>0</v>
      </c>
      <c r="T1155" s="29">
        <f>SUM(F1155*IF(E1155=_current_year,_current_month,12)-(S1155))</f>
        <v>120000</v>
      </c>
    </row>
    <row r="1156" spans="1:39" ht="51.75" customHeight="1" x14ac:dyDescent="0.25">
      <c r="A1156" s="307">
        <v>34</v>
      </c>
      <c r="B1156" s="17"/>
      <c r="C1156" s="465"/>
      <c r="D1156" s="19"/>
      <c r="E1156" s="30">
        <v>2024</v>
      </c>
      <c r="F1156" s="27">
        <v>5000</v>
      </c>
      <c r="G1156" s="22"/>
      <c r="H1156" s="22"/>
      <c r="I1156" s="22"/>
      <c r="J1156" s="22"/>
      <c r="K1156" s="22"/>
      <c r="L1156" s="22"/>
      <c r="M1156" s="22"/>
      <c r="N1156" s="22"/>
      <c r="O1156" s="22"/>
      <c r="P1156" s="22"/>
      <c r="Q1156" s="22"/>
      <c r="R1156" s="22"/>
      <c r="S1156" s="37">
        <f t="shared" ref="S1156:S1162" si="59">SUM(G1156:R1156)</f>
        <v>0</v>
      </c>
      <c r="T1156" s="22">
        <f>SUM(F1156*IF(E1156=_current_year,_current_month,12)-(S1156))</f>
        <v>60000</v>
      </c>
    </row>
    <row r="1157" spans="1:39" ht="51.75" customHeight="1" x14ac:dyDescent="0.25">
      <c r="A1157" s="320"/>
      <c r="B1157" s="17"/>
      <c r="C1157" s="315"/>
      <c r="D1157" s="19"/>
      <c r="E1157" s="30">
        <v>2023</v>
      </c>
      <c r="F1157" s="27">
        <v>5000</v>
      </c>
      <c r="G1157" s="22"/>
      <c r="H1157" s="22"/>
      <c r="I1157" s="22"/>
      <c r="J1157" s="22"/>
      <c r="K1157" s="22"/>
      <c r="L1157" s="22"/>
      <c r="M1157" s="22"/>
      <c r="N1157" s="22"/>
      <c r="O1157" s="22"/>
      <c r="P1157" s="22"/>
      <c r="Q1157" s="22"/>
      <c r="R1157" s="22"/>
      <c r="S1157" s="37">
        <f t="shared" si="59"/>
        <v>0</v>
      </c>
      <c r="T1157" s="22">
        <f>SUM(F1157*IF(E1157=_current_year,_current_month,12)-(S1157))</f>
        <v>60000</v>
      </c>
    </row>
    <row r="1158" spans="1:39" s="220" customFormat="1" ht="48" customHeight="1" x14ac:dyDescent="0.4">
      <c r="A1158" s="320"/>
      <c r="B1158" s="33" t="s">
        <v>28</v>
      </c>
      <c r="C1158" s="34"/>
      <c r="D1158" s="35"/>
      <c r="E1158" s="30">
        <v>2022</v>
      </c>
      <c r="F1158" s="27">
        <v>5000</v>
      </c>
      <c r="G1158" s="36"/>
      <c r="H1158" s="36"/>
      <c r="I1158" s="36"/>
      <c r="J1158" s="36"/>
      <c r="K1158" s="36"/>
      <c r="L1158" s="36"/>
      <c r="M1158" s="36"/>
      <c r="N1158" s="36"/>
      <c r="O1158" s="36"/>
      <c r="P1158" s="36"/>
      <c r="Q1158" s="36"/>
      <c r="R1158" s="36"/>
      <c r="S1158" s="37">
        <f t="shared" si="59"/>
        <v>0</v>
      </c>
      <c r="T1158" s="37">
        <f>SUM(60000-S1158)</f>
        <v>60000</v>
      </c>
      <c r="AM1158" s="250"/>
    </row>
    <row r="1159" spans="1:39" s="220" customFormat="1" ht="48.75" customHeight="1" x14ac:dyDescent="0.4">
      <c r="A1159" s="313" t="s">
        <v>167</v>
      </c>
      <c r="B1159" s="33" t="s">
        <v>28</v>
      </c>
      <c r="C1159" s="38" t="s">
        <v>52</v>
      </c>
      <c r="D1159" s="124"/>
      <c r="E1159" s="30">
        <v>2021</v>
      </c>
      <c r="F1159" s="27">
        <v>5000</v>
      </c>
      <c r="G1159" s="36"/>
      <c r="H1159" s="36"/>
      <c r="I1159" s="36"/>
      <c r="J1159" s="36"/>
      <c r="K1159" s="36"/>
      <c r="L1159" s="36"/>
      <c r="M1159" s="36"/>
      <c r="N1159" s="36"/>
      <c r="O1159" s="36"/>
      <c r="P1159" s="36"/>
      <c r="Q1159" s="36"/>
      <c r="R1159" s="36"/>
      <c r="S1159" s="252">
        <f t="shared" si="59"/>
        <v>0</v>
      </c>
      <c r="T1159" s="252">
        <f>SUM(60000-S1159)</f>
        <v>60000</v>
      </c>
      <c r="AM1159" s="250"/>
    </row>
    <row r="1160" spans="1:39" s="258" customFormat="1" ht="48.75" customHeight="1" x14ac:dyDescent="0.45">
      <c r="A1160" s="313"/>
      <c r="B1160" s="253" t="s">
        <v>28</v>
      </c>
      <c r="C1160" s="125"/>
      <c r="D1160" s="126"/>
      <c r="E1160" s="254">
        <v>2020</v>
      </c>
      <c r="F1160" s="27">
        <v>5000</v>
      </c>
      <c r="G1160" s="302"/>
      <c r="H1160" s="302"/>
      <c r="I1160" s="302"/>
      <c r="J1160" s="302"/>
      <c r="K1160" s="302"/>
      <c r="L1160" s="302"/>
      <c r="M1160" s="302"/>
      <c r="N1160" s="302"/>
      <c r="O1160" s="302"/>
      <c r="P1160" s="302"/>
      <c r="Q1160" s="302"/>
      <c r="R1160" s="302"/>
      <c r="S1160" s="252">
        <f t="shared" si="59"/>
        <v>0</v>
      </c>
      <c r="T1160" s="257">
        <f>SUM(60000-S1160)</f>
        <v>60000</v>
      </c>
      <c r="AM1160" s="259"/>
    </row>
    <row r="1161" spans="1:39" s="258" customFormat="1" ht="48.75" customHeight="1" x14ac:dyDescent="0.75">
      <c r="A1161" s="409"/>
      <c r="B1161" s="253"/>
      <c r="C1161" s="125"/>
      <c r="D1161" s="126"/>
      <c r="E1161" s="254">
        <v>2019</v>
      </c>
      <c r="F1161" s="27">
        <v>5000</v>
      </c>
      <c r="G1161" s="302"/>
      <c r="H1161" s="302"/>
      <c r="I1161" s="302"/>
      <c r="J1161" s="302"/>
      <c r="K1161" s="302"/>
      <c r="L1161" s="302"/>
      <c r="M1161" s="302"/>
      <c r="N1161" s="302"/>
      <c r="O1161" s="302"/>
      <c r="P1161" s="302"/>
      <c r="Q1161" s="302"/>
      <c r="R1161" s="302"/>
      <c r="S1161" s="252">
        <f t="shared" si="59"/>
        <v>0</v>
      </c>
      <c r="T1161" s="257">
        <f>SUM(60000-S1161)</f>
        <v>60000</v>
      </c>
      <c r="AM1161" s="259"/>
    </row>
    <row r="1162" spans="1:39" s="258" customFormat="1" ht="48.75" customHeight="1" x14ac:dyDescent="0.75">
      <c r="A1162" s="409"/>
      <c r="B1162" s="253"/>
      <c r="C1162" s="125"/>
      <c r="D1162" s="126"/>
      <c r="E1162" s="254">
        <v>2018</v>
      </c>
      <c r="F1162" s="27">
        <v>5000</v>
      </c>
      <c r="G1162" s="302"/>
      <c r="H1162" s="302"/>
      <c r="I1162" s="302"/>
      <c r="J1162" s="302"/>
      <c r="K1162" s="302"/>
      <c r="L1162" s="302"/>
      <c r="M1162" s="302"/>
      <c r="N1162" s="302"/>
      <c r="O1162" s="302"/>
      <c r="P1162" s="302"/>
      <c r="Q1162" s="302"/>
      <c r="R1162" s="302"/>
      <c r="S1162" s="252">
        <f t="shared" si="59"/>
        <v>0</v>
      </c>
      <c r="T1162" s="257">
        <f>SUM(60000-S1162)</f>
        <v>60000</v>
      </c>
      <c r="AM1162" s="259"/>
    </row>
    <row r="1163" spans="1:39" s="258" customFormat="1" ht="48.75" customHeight="1" thickBot="1" x14ac:dyDescent="0.5">
      <c r="A1163" s="278"/>
      <c r="B1163" s="253"/>
      <c r="C1163" s="253"/>
      <c r="D1163" s="68"/>
      <c r="E1163" s="264"/>
      <c r="F1163" s="265"/>
      <c r="G1163" s="266"/>
      <c r="H1163" s="266"/>
      <c r="I1163" s="266"/>
      <c r="J1163" s="266"/>
      <c r="K1163" s="266"/>
      <c r="L1163" s="266"/>
      <c r="M1163" s="266"/>
      <c r="N1163" s="266"/>
      <c r="O1163" s="266"/>
      <c r="P1163" s="266"/>
      <c r="Q1163" s="266"/>
      <c r="R1163" s="266"/>
      <c r="S1163" s="267">
        <f>SUM(S1156:S1162)</f>
        <v>0</v>
      </c>
      <c r="T1163" s="268">
        <f>SUM(T1155:T1162)</f>
        <v>540000</v>
      </c>
      <c r="AM1163" s="259"/>
    </row>
    <row r="1164" spans="1:39" s="258" customFormat="1" ht="48.75" customHeight="1" x14ac:dyDescent="0.45">
      <c r="A1164" s="278"/>
      <c r="B1164" s="253"/>
      <c r="C1164" s="253"/>
      <c r="D1164" s="68"/>
      <c r="E1164" s="253"/>
      <c r="F1164" s="253"/>
      <c r="G1164" s="253"/>
      <c r="H1164" s="253"/>
      <c r="I1164" s="253"/>
      <c r="J1164" s="253"/>
      <c r="K1164" s="253"/>
      <c r="L1164" s="253"/>
      <c r="M1164" s="253"/>
      <c r="N1164" s="253"/>
      <c r="O1164" s="253"/>
      <c r="P1164" s="253"/>
      <c r="Q1164" s="253"/>
      <c r="R1164" s="253"/>
      <c r="S1164" s="269"/>
      <c r="T1164" s="269"/>
      <c r="AM1164" s="259"/>
    </row>
    <row r="1165" spans="1:39" s="245" customFormat="1" ht="61.5" customHeight="1" x14ac:dyDescent="0.5">
      <c r="A1165" s="55" t="s">
        <v>31</v>
      </c>
      <c r="B1165" s="241" t="s">
        <v>7</v>
      </c>
      <c r="C1165" s="242" t="s">
        <v>32</v>
      </c>
      <c r="D1165" s="243" t="s">
        <v>33</v>
      </c>
      <c r="E1165" s="242" t="s">
        <v>34</v>
      </c>
      <c r="F1165" s="244" t="s">
        <v>11</v>
      </c>
      <c r="G1165" s="244" t="s">
        <v>12</v>
      </c>
      <c r="H1165" s="244" t="s">
        <v>13</v>
      </c>
      <c r="I1165" s="244" t="s">
        <v>14</v>
      </c>
      <c r="J1165" s="244" t="s">
        <v>15</v>
      </c>
      <c r="K1165" s="244" t="s">
        <v>16</v>
      </c>
      <c r="L1165" s="244" t="s">
        <v>17</v>
      </c>
      <c r="M1165" s="244" t="s">
        <v>18</v>
      </c>
      <c r="N1165" s="244" t="s">
        <v>19</v>
      </c>
      <c r="O1165" s="244" t="s">
        <v>20</v>
      </c>
      <c r="P1165" s="244" t="s">
        <v>21</v>
      </c>
      <c r="Q1165" s="244" t="s">
        <v>22</v>
      </c>
      <c r="R1165" s="244" t="s">
        <v>23</v>
      </c>
      <c r="S1165" s="20" t="s">
        <v>24</v>
      </c>
      <c r="T1165" s="20" t="s">
        <v>25</v>
      </c>
      <c r="AM1165" s="246"/>
    </row>
    <row r="1166" spans="1:39" ht="51.75" customHeight="1" x14ac:dyDescent="0.25">
      <c r="A1166" s="307" t="s">
        <v>299</v>
      </c>
      <c r="B1166" s="17"/>
      <c r="C1166" s="279" t="s">
        <v>300</v>
      </c>
      <c r="D1166" s="84" t="str">
        <f ca="1">ibb36a_name</f>
        <v>KEMCHUTA HOMES LIMITED</v>
      </c>
      <c r="E1166" s="26">
        <v>2025</v>
      </c>
      <c r="F1166" s="27">
        <v>12500</v>
      </c>
      <c r="G1166" s="22"/>
      <c r="H1166" s="22"/>
      <c r="I1166" s="22"/>
      <c r="J1166" s="22"/>
      <c r="K1166" s="22"/>
      <c r="L1166" s="22"/>
      <c r="M1166" s="22"/>
      <c r="N1166" s="22"/>
      <c r="O1166" s="22">
        <v>60000</v>
      </c>
      <c r="P1166" s="22"/>
      <c r="Q1166" s="22"/>
      <c r="R1166" s="22"/>
      <c r="S1166" s="64">
        <f>SUM(K1166:R1166)</f>
        <v>60000</v>
      </c>
      <c r="T1166" s="29">
        <f>SUM(F1166*IF(E1166=_current_year,_current_month,12)-(S1166))</f>
        <v>90000</v>
      </c>
    </row>
    <row r="1167" spans="1:39" ht="51.75" customHeight="1" x14ac:dyDescent="0.25">
      <c r="A1167" s="320"/>
      <c r="B1167" s="17"/>
      <c r="C1167" s="287"/>
      <c r="D1167" s="84"/>
      <c r="E1167" s="30">
        <v>2024</v>
      </c>
      <c r="F1167" s="27">
        <v>12500</v>
      </c>
      <c r="G1167" s="22"/>
      <c r="H1167" s="22"/>
      <c r="I1167" s="22"/>
      <c r="J1167" s="22"/>
      <c r="K1167" s="22"/>
      <c r="L1167" s="22"/>
      <c r="M1167" s="22">
        <v>150000</v>
      </c>
      <c r="N1167" s="22"/>
      <c r="O1167" s="22"/>
      <c r="P1167" s="22"/>
      <c r="Q1167" s="22"/>
      <c r="R1167" s="22"/>
      <c r="S1167" s="37">
        <f>SUM(K1167:R1167)</f>
        <v>150000</v>
      </c>
      <c r="T1167" s="22">
        <f>SUM(F1167*IF(E1167=_current_year,_current_month,12)-(S1167))</f>
        <v>0</v>
      </c>
    </row>
    <row r="1168" spans="1:39" ht="51.75" customHeight="1" x14ac:dyDescent="0.25">
      <c r="A1168" s="320"/>
      <c r="B1168" s="17"/>
      <c r="C1168" s="315"/>
      <c r="D1168" s="84"/>
      <c r="E1168" s="30">
        <v>2023</v>
      </c>
      <c r="F1168" s="27">
        <v>12500</v>
      </c>
      <c r="G1168" s="22"/>
      <c r="H1168" s="22"/>
      <c r="I1168" s="22"/>
      <c r="J1168" s="22"/>
      <c r="K1168" s="336">
        <v>60000</v>
      </c>
      <c r="L1168" s="22">
        <v>90000</v>
      </c>
      <c r="M1168" s="22"/>
      <c r="N1168" s="22"/>
      <c r="O1168" s="22"/>
      <c r="P1168" s="22"/>
      <c r="Q1168" s="22"/>
      <c r="R1168" s="22"/>
      <c r="S1168" s="37">
        <f>SUM(K1168:R1168)</f>
        <v>150000</v>
      </c>
      <c r="T1168" s="22">
        <f>SUM(F1168*7)-(S1168)</f>
        <v>-62500</v>
      </c>
    </row>
    <row r="1169" spans="1:39" s="220" customFormat="1" ht="48" customHeight="1" x14ac:dyDescent="0.4">
      <c r="A1169" s="320"/>
      <c r="B1169" s="33" t="s">
        <v>28</v>
      </c>
      <c r="C1169" s="85"/>
      <c r="D1169" s="35"/>
      <c r="E1169" s="49"/>
      <c r="F1169" s="49"/>
      <c r="G1169" s="49"/>
      <c r="H1169" s="49"/>
      <c r="I1169" s="49"/>
      <c r="J1169" s="49"/>
      <c r="K1169" s="49"/>
      <c r="L1169" s="49"/>
      <c r="M1169" s="49"/>
      <c r="N1169" s="49"/>
      <c r="O1169" s="49"/>
      <c r="P1169" s="49"/>
      <c r="Q1169" s="49"/>
      <c r="R1169" s="49"/>
      <c r="S1169" s="49"/>
      <c r="T1169" s="49"/>
      <c r="AM1169" s="250"/>
    </row>
    <row r="1170" spans="1:39" s="220" customFormat="1" ht="48.75" customHeight="1" x14ac:dyDescent="0.4">
      <c r="A1170" s="313" t="s">
        <v>167</v>
      </c>
      <c r="B1170" s="33" t="s">
        <v>28</v>
      </c>
      <c r="C1170" s="38" t="s">
        <v>52</v>
      </c>
      <c r="D1170" s="124"/>
      <c r="E1170" s="49"/>
      <c r="G1170" s="49"/>
      <c r="H1170" s="49"/>
      <c r="I1170" s="6" t="s">
        <v>301</v>
      </c>
      <c r="J1170" s="49"/>
      <c r="L1170" s="49"/>
      <c r="N1170" s="466"/>
      <c r="O1170" s="49"/>
      <c r="P1170" s="49"/>
      <c r="Q1170" s="49"/>
      <c r="R1170" s="49"/>
      <c r="S1170" s="49"/>
      <c r="T1170" s="49"/>
      <c r="AM1170" s="250"/>
    </row>
    <row r="1171" spans="1:39" s="258" customFormat="1" ht="48.75" customHeight="1" x14ac:dyDescent="0.45">
      <c r="A1171" s="313"/>
      <c r="B1171" s="253" t="s">
        <v>28</v>
      </c>
      <c r="C1171" s="125"/>
      <c r="D1171" s="126"/>
      <c r="E1171" s="264"/>
      <c r="F1171" s="264"/>
      <c r="G1171" s="264"/>
      <c r="H1171" s="264"/>
      <c r="I1171" s="264"/>
      <c r="J1171" s="264"/>
      <c r="K1171" s="264"/>
      <c r="L1171" s="264"/>
      <c r="M1171" s="467"/>
      <c r="N1171" s="49"/>
      <c r="O1171" s="49"/>
      <c r="P1171" s="264"/>
      <c r="Q1171" s="264"/>
      <c r="R1171" s="264"/>
      <c r="S1171" s="264"/>
      <c r="T1171" s="264"/>
      <c r="AM1171" s="259"/>
    </row>
    <row r="1172" spans="1:39" s="258" customFormat="1" ht="57.75" customHeight="1" x14ac:dyDescent="0.75">
      <c r="A1172" s="462"/>
      <c r="B1172" s="253"/>
      <c r="C1172" s="129"/>
      <c r="D1172" s="130"/>
      <c r="E1172" s="264"/>
      <c r="F1172" s="264"/>
      <c r="G1172" s="264"/>
      <c r="H1172" s="264"/>
      <c r="I1172" s="264"/>
      <c r="J1172" s="264"/>
      <c r="K1172" s="264"/>
      <c r="L1172" s="264"/>
      <c r="M1172" s="6"/>
      <c r="N1172" s="49"/>
      <c r="O1172" s="468"/>
      <c r="P1172" s="264"/>
      <c r="Q1172" s="264"/>
      <c r="R1172" s="264"/>
      <c r="S1172" s="469"/>
      <c r="T1172" s="469"/>
      <c r="AM1172" s="259"/>
    </row>
    <row r="1173" spans="1:39" s="258" customFormat="1" ht="48.75" customHeight="1" thickBot="1" x14ac:dyDescent="0.5">
      <c r="A1173" s="278"/>
      <c r="B1173" s="253"/>
      <c r="C1173" s="253"/>
      <c r="D1173" s="68"/>
      <c r="E1173" s="264"/>
      <c r="F1173" s="265"/>
      <c r="G1173" s="266"/>
      <c r="H1173" s="266"/>
      <c r="I1173" s="266"/>
      <c r="J1173" s="266"/>
      <c r="K1173" s="266"/>
      <c r="L1173" s="266"/>
      <c r="M1173" s="266"/>
      <c r="N1173" s="266"/>
      <c r="O1173" s="266"/>
      <c r="P1173" s="266"/>
      <c r="Q1173" s="266"/>
      <c r="R1173" s="266"/>
      <c r="S1173" s="267">
        <f>SUM(S1166:S1172)</f>
        <v>360000</v>
      </c>
      <c r="T1173" s="268">
        <f>SUM(T1166:T1172)</f>
        <v>27500</v>
      </c>
      <c r="AM1173" s="259"/>
    </row>
    <row r="1175" spans="1:39" s="245" customFormat="1" ht="61.5" customHeight="1" x14ac:dyDescent="0.5">
      <c r="A1175" s="55" t="s">
        <v>31</v>
      </c>
      <c r="B1175" s="241" t="s">
        <v>7</v>
      </c>
      <c r="C1175" s="242" t="s">
        <v>32</v>
      </c>
      <c r="D1175" s="243" t="s">
        <v>33</v>
      </c>
      <c r="E1175" s="242" t="s">
        <v>34</v>
      </c>
      <c r="F1175" s="244" t="s">
        <v>11</v>
      </c>
      <c r="G1175" s="244" t="s">
        <v>12</v>
      </c>
      <c r="H1175" s="244" t="s">
        <v>13</v>
      </c>
      <c r="I1175" s="244" t="s">
        <v>14</v>
      </c>
      <c r="J1175" s="244" t="s">
        <v>15</v>
      </c>
      <c r="K1175" s="244" t="s">
        <v>16</v>
      </c>
      <c r="L1175" s="244" t="s">
        <v>17</v>
      </c>
      <c r="M1175" s="244" t="s">
        <v>18</v>
      </c>
      <c r="N1175" s="244" t="s">
        <v>19</v>
      </c>
      <c r="O1175" s="244" t="s">
        <v>20</v>
      </c>
      <c r="P1175" s="244" t="s">
        <v>21</v>
      </c>
      <c r="Q1175" s="244" t="s">
        <v>22</v>
      </c>
      <c r="R1175" s="244" t="s">
        <v>23</v>
      </c>
      <c r="S1175" s="20" t="s">
        <v>24</v>
      </c>
      <c r="T1175" s="20" t="s">
        <v>25</v>
      </c>
      <c r="AM1175" s="246"/>
    </row>
    <row r="1176" spans="1:39" ht="51.75" customHeight="1" x14ac:dyDescent="0.25">
      <c r="A1176" s="307" t="s">
        <v>302</v>
      </c>
      <c r="B1176" s="17"/>
      <c r="C1176" s="279" t="s">
        <v>303</v>
      </c>
      <c r="D1176" s="19"/>
      <c r="E1176" s="26">
        <v>2025</v>
      </c>
      <c r="F1176" s="27">
        <v>10000</v>
      </c>
      <c r="G1176" s="22"/>
      <c r="H1176" s="22"/>
      <c r="I1176" s="22"/>
      <c r="J1176" s="22"/>
      <c r="K1176" s="22"/>
      <c r="L1176" s="22"/>
      <c r="M1176" s="22"/>
      <c r="N1176" s="22"/>
      <c r="O1176" s="22"/>
      <c r="P1176" s="22"/>
      <c r="Q1176" s="22"/>
      <c r="R1176" s="22"/>
      <c r="S1176" s="64">
        <f t="shared" ref="S1176:S1186" si="60">SUM(G1176:R1176)</f>
        <v>0</v>
      </c>
      <c r="T1176" s="29">
        <f>SUM(F1176*IF(E1176=_current_year,_current_month,12)-(S1176))</f>
        <v>120000</v>
      </c>
    </row>
    <row r="1177" spans="1:39" ht="51.75" customHeight="1" x14ac:dyDescent="0.25">
      <c r="A1177" s="320"/>
      <c r="B1177" s="17"/>
      <c r="C1177" s="460"/>
      <c r="D1177" s="19"/>
      <c r="E1177" s="30">
        <v>2024</v>
      </c>
      <c r="F1177" s="27">
        <v>5000</v>
      </c>
      <c r="G1177" s="22"/>
      <c r="H1177" s="22">
        <v>120000</v>
      </c>
      <c r="I1177" s="22"/>
      <c r="J1177" s="22"/>
      <c r="K1177" s="22"/>
      <c r="L1177" s="22"/>
      <c r="M1177" s="22"/>
      <c r="N1177" s="22"/>
      <c r="O1177" s="22"/>
      <c r="P1177" s="22">
        <v>50000</v>
      </c>
      <c r="Q1177" s="22"/>
      <c r="R1177" s="22"/>
      <c r="S1177" s="37">
        <f t="shared" si="60"/>
        <v>170000</v>
      </c>
      <c r="T1177" s="22">
        <f>SUM(F1177*IF(E1177=_current_year,_current_month,12)-(S1177))</f>
        <v>-110000</v>
      </c>
    </row>
    <row r="1178" spans="1:39" ht="51.75" customHeight="1" x14ac:dyDescent="0.25">
      <c r="A1178" s="320"/>
      <c r="B1178" s="17"/>
      <c r="C1178" s="287"/>
      <c r="D1178" s="19"/>
      <c r="E1178" s="30">
        <v>2023</v>
      </c>
      <c r="F1178" s="27">
        <v>5000</v>
      </c>
      <c r="G1178" s="22"/>
      <c r="H1178" s="22"/>
      <c r="I1178" s="22"/>
      <c r="J1178" s="22"/>
      <c r="K1178" s="22">
        <v>100000</v>
      </c>
      <c r="L1178" s="22"/>
      <c r="M1178" s="22"/>
      <c r="N1178" s="22"/>
      <c r="O1178" s="22"/>
      <c r="P1178" s="22"/>
      <c r="Q1178" s="22"/>
      <c r="R1178" s="22"/>
      <c r="S1178" s="37">
        <f t="shared" si="60"/>
        <v>100000</v>
      </c>
      <c r="T1178" s="22">
        <f>SUM(F1178*12)-(S1178)</f>
        <v>-40000</v>
      </c>
    </row>
    <row r="1179" spans="1:39" s="220" customFormat="1" ht="48" customHeight="1" x14ac:dyDescent="0.4">
      <c r="A1179" s="320"/>
      <c r="B1179" s="33" t="s">
        <v>28</v>
      </c>
      <c r="C1179" s="85" t="s">
        <v>304</v>
      </c>
      <c r="D1179" s="35"/>
      <c r="E1179" s="30">
        <v>2022</v>
      </c>
      <c r="F1179" s="27">
        <v>5000</v>
      </c>
      <c r="G1179" s="36"/>
      <c r="H1179" s="36"/>
      <c r="I1179" s="36"/>
      <c r="J1179" s="36"/>
      <c r="K1179" s="36"/>
      <c r="L1179" s="36"/>
      <c r="M1179" s="36"/>
      <c r="N1179" s="36"/>
      <c r="O1179" s="36"/>
      <c r="P1179" s="36"/>
      <c r="Q1179" s="36"/>
      <c r="R1179" s="36"/>
      <c r="S1179" s="37">
        <f t="shared" si="60"/>
        <v>0</v>
      </c>
      <c r="T1179" s="37">
        <f t="shared" ref="T1179:T1186" si="61">SUM(60000-S1179)</f>
        <v>60000</v>
      </c>
      <c r="AM1179" s="250"/>
    </row>
    <row r="1180" spans="1:39" s="220" customFormat="1" ht="48.75" customHeight="1" x14ac:dyDescent="0.4">
      <c r="A1180" s="313" t="s">
        <v>167</v>
      </c>
      <c r="B1180" s="33" t="s">
        <v>28</v>
      </c>
      <c r="C1180" s="38" t="s">
        <v>52</v>
      </c>
      <c r="D1180" s="124"/>
      <c r="E1180" s="30">
        <v>2021</v>
      </c>
      <c r="F1180" s="251">
        <v>5000</v>
      </c>
      <c r="G1180" s="36"/>
      <c r="H1180" s="36"/>
      <c r="I1180" s="36"/>
      <c r="J1180" s="36"/>
      <c r="K1180" s="36"/>
      <c r="L1180" s="36"/>
      <c r="M1180" s="36"/>
      <c r="N1180" s="36"/>
      <c r="O1180" s="36"/>
      <c r="P1180" s="36">
        <v>30000</v>
      </c>
      <c r="Q1180" s="36"/>
      <c r="R1180" s="36"/>
      <c r="S1180" s="252">
        <f t="shared" si="60"/>
        <v>30000</v>
      </c>
      <c r="T1180" s="252">
        <f t="shared" si="61"/>
        <v>30000</v>
      </c>
      <c r="AM1180" s="250"/>
    </row>
    <row r="1181" spans="1:39" s="258" customFormat="1" ht="48.75" customHeight="1" x14ac:dyDescent="0.45">
      <c r="A1181" s="313"/>
      <c r="B1181" s="253" t="s">
        <v>28</v>
      </c>
      <c r="C1181" s="125"/>
      <c r="D1181" s="126"/>
      <c r="E1181" s="254">
        <v>2020</v>
      </c>
      <c r="F1181" s="251">
        <v>5000</v>
      </c>
      <c r="G1181" s="302"/>
      <c r="H1181" s="302"/>
      <c r="I1181" s="302"/>
      <c r="J1181" s="302"/>
      <c r="K1181" s="302"/>
      <c r="L1181" s="302"/>
      <c r="M1181" s="302"/>
      <c r="N1181" s="302"/>
      <c r="O1181" s="302"/>
      <c r="P1181" s="302"/>
      <c r="Q1181" s="302"/>
      <c r="R1181" s="302">
        <v>30000</v>
      </c>
      <c r="S1181" s="252">
        <f t="shared" si="60"/>
        <v>30000</v>
      </c>
      <c r="T1181" s="257">
        <f t="shared" si="61"/>
        <v>30000</v>
      </c>
      <c r="AM1181" s="259"/>
    </row>
    <row r="1182" spans="1:39" s="258" customFormat="1" ht="48.75" customHeight="1" x14ac:dyDescent="0.75">
      <c r="A1182" s="462"/>
      <c r="B1182" s="253"/>
      <c r="C1182" s="125"/>
      <c r="D1182" s="126"/>
      <c r="E1182" s="254">
        <v>2019</v>
      </c>
      <c r="F1182" s="251">
        <v>5000</v>
      </c>
      <c r="G1182" s="302"/>
      <c r="H1182" s="302"/>
      <c r="I1182" s="302"/>
      <c r="J1182" s="302"/>
      <c r="K1182" s="302"/>
      <c r="L1182" s="302"/>
      <c r="M1182" s="302"/>
      <c r="N1182" s="302"/>
      <c r="O1182" s="302"/>
      <c r="P1182" s="302"/>
      <c r="Q1182" s="302"/>
      <c r="R1182" s="302"/>
      <c r="S1182" s="252">
        <f t="shared" si="60"/>
        <v>0</v>
      </c>
      <c r="T1182" s="257">
        <f t="shared" si="61"/>
        <v>60000</v>
      </c>
      <c r="AM1182" s="259"/>
    </row>
    <row r="1183" spans="1:39" s="258" customFormat="1" ht="48.75" customHeight="1" x14ac:dyDescent="0.45">
      <c r="A1183" s="300"/>
      <c r="B1183" s="253"/>
      <c r="C1183" s="125"/>
      <c r="D1183" s="126"/>
      <c r="E1183" s="254">
        <v>2018</v>
      </c>
      <c r="F1183" s="251">
        <v>5000</v>
      </c>
      <c r="G1183" s="302"/>
      <c r="H1183" s="302"/>
      <c r="I1183" s="302"/>
      <c r="J1183" s="302"/>
      <c r="K1183" s="302"/>
      <c r="L1183" s="302"/>
      <c r="M1183" s="302"/>
      <c r="N1183" s="302"/>
      <c r="O1183" s="302"/>
      <c r="P1183" s="302"/>
      <c r="Q1183" s="302"/>
      <c r="R1183" s="302"/>
      <c r="S1183" s="252">
        <f t="shared" si="60"/>
        <v>0</v>
      </c>
      <c r="T1183" s="257">
        <f t="shared" si="61"/>
        <v>60000</v>
      </c>
      <c r="AM1183" s="259"/>
    </row>
    <row r="1184" spans="1:39" s="258" customFormat="1" ht="48.75" customHeight="1" x14ac:dyDescent="0.45">
      <c r="A1184" s="300"/>
      <c r="B1184" s="253"/>
      <c r="C1184" s="125"/>
      <c r="D1184" s="126"/>
      <c r="E1184" s="254">
        <v>2017</v>
      </c>
      <c r="F1184" s="251">
        <v>5000</v>
      </c>
      <c r="G1184" s="302"/>
      <c r="H1184" s="302"/>
      <c r="I1184" s="302"/>
      <c r="J1184" s="302"/>
      <c r="K1184" s="302"/>
      <c r="L1184" s="302"/>
      <c r="M1184" s="256"/>
      <c r="N1184" s="256"/>
      <c r="O1184" s="256"/>
      <c r="P1184" s="256"/>
      <c r="Q1184" s="256"/>
      <c r="R1184" s="256"/>
      <c r="S1184" s="252">
        <f t="shared" si="60"/>
        <v>0</v>
      </c>
      <c r="T1184" s="257">
        <f t="shared" si="61"/>
        <v>60000</v>
      </c>
      <c r="AM1184" s="259"/>
    </row>
    <row r="1185" spans="1:39" s="258" customFormat="1" ht="48.75" customHeight="1" x14ac:dyDescent="0.45">
      <c r="A1185" s="300"/>
      <c r="B1185" s="253"/>
      <c r="C1185" s="125"/>
      <c r="D1185" s="126"/>
      <c r="E1185" s="254">
        <v>2016</v>
      </c>
      <c r="F1185" s="251">
        <v>5000</v>
      </c>
      <c r="G1185" s="260"/>
      <c r="H1185" s="260"/>
      <c r="I1185" s="260"/>
      <c r="J1185" s="260"/>
      <c r="K1185" s="260"/>
      <c r="L1185" s="260"/>
      <c r="M1185" s="260"/>
      <c r="N1185" s="260"/>
      <c r="O1185" s="260"/>
      <c r="P1185" s="260"/>
      <c r="Q1185" s="260"/>
      <c r="R1185" s="260"/>
      <c r="S1185" s="252">
        <f t="shared" si="60"/>
        <v>0</v>
      </c>
      <c r="T1185" s="257">
        <f t="shared" si="61"/>
        <v>60000</v>
      </c>
      <c r="AM1185" s="259"/>
    </row>
    <row r="1186" spans="1:39" s="258" customFormat="1" ht="48.75" customHeight="1" x14ac:dyDescent="0.45">
      <c r="A1186" s="446"/>
      <c r="B1186" s="253"/>
      <c r="C1186" s="129"/>
      <c r="D1186" s="130"/>
      <c r="E1186" s="254">
        <v>2015</v>
      </c>
      <c r="F1186" s="251">
        <v>5000</v>
      </c>
      <c r="G1186" s="260"/>
      <c r="H1186" s="260"/>
      <c r="I1186" s="260"/>
      <c r="J1186" s="260"/>
      <c r="K1186" s="260"/>
      <c r="L1186" s="260"/>
      <c r="M1186" s="260"/>
      <c r="N1186" s="260"/>
      <c r="O1186" s="260"/>
      <c r="P1186" s="260"/>
      <c r="Q1186" s="260"/>
      <c r="R1186" s="260"/>
      <c r="S1186" s="252">
        <f t="shared" si="60"/>
        <v>0</v>
      </c>
      <c r="T1186" s="257">
        <f t="shared" si="61"/>
        <v>60000</v>
      </c>
      <c r="AM1186" s="259"/>
    </row>
    <row r="1187" spans="1:39" s="258" customFormat="1" ht="48.75" customHeight="1" thickBot="1" x14ac:dyDescent="0.5">
      <c r="A1187" s="278"/>
      <c r="B1187" s="253"/>
      <c r="C1187" s="253"/>
      <c r="D1187" s="68"/>
      <c r="E1187" s="264"/>
      <c r="F1187" s="265"/>
      <c r="G1187" s="266"/>
      <c r="H1187" s="266"/>
      <c r="I1187" s="266"/>
      <c r="J1187" s="266"/>
      <c r="K1187" s="266"/>
      <c r="L1187" s="266"/>
      <c r="M1187" s="266"/>
      <c r="N1187" s="266"/>
      <c r="O1187" s="266"/>
      <c r="P1187" s="266"/>
      <c r="Q1187" s="266"/>
      <c r="R1187" s="266"/>
      <c r="S1187" s="267">
        <f>SUM(S1176:S1186)</f>
        <v>330000</v>
      </c>
      <c r="T1187" s="268">
        <f>SUM(T1176:T1186)</f>
        <v>390000</v>
      </c>
      <c r="AM1187" s="259"/>
    </row>
    <row r="1189" spans="1:39" s="258" customFormat="1" ht="48.75" customHeight="1" x14ac:dyDescent="0.45">
      <c r="A1189" s="278"/>
      <c r="B1189" s="253"/>
      <c r="C1189" s="253"/>
      <c r="D1189" s="68"/>
      <c r="E1189" s="253"/>
      <c r="F1189" s="253"/>
      <c r="G1189" s="253"/>
      <c r="H1189" s="253"/>
      <c r="I1189" s="253"/>
      <c r="J1189" s="253"/>
      <c r="K1189" s="253"/>
      <c r="L1189" s="253"/>
      <c r="M1189" s="253"/>
      <c r="N1189" s="253"/>
      <c r="O1189" s="253"/>
      <c r="P1189" s="253"/>
      <c r="Q1189" s="253"/>
      <c r="R1189" s="253"/>
      <c r="S1189" s="269"/>
      <c r="T1189" s="269"/>
      <c r="AM1189" s="259"/>
    </row>
    <row r="1190" spans="1:39" s="245" customFormat="1" ht="57" customHeight="1" x14ac:dyDescent="0.5">
      <c r="A1190" s="55" t="s">
        <v>31</v>
      </c>
      <c r="B1190" s="241" t="s">
        <v>7</v>
      </c>
      <c r="C1190" s="242" t="s">
        <v>32</v>
      </c>
      <c r="D1190" s="243" t="s">
        <v>33</v>
      </c>
      <c r="E1190" s="242" t="s">
        <v>34</v>
      </c>
      <c r="F1190" s="244" t="s">
        <v>11</v>
      </c>
      <c r="G1190" s="244" t="s">
        <v>12</v>
      </c>
      <c r="H1190" s="244" t="s">
        <v>13</v>
      </c>
      <c r="I1190" s="244" t="s">
        <v>14</v>
      </c>
      <c r="J1190" s="244" t="s">
        <v>15</v>
      </c>
      <c r="K1190" s="244" t="s">
        <v>16</v>
      </c>
      <c r="L1190" s="244" t="s">
        <v>17</v>
      </c>
      <c r="M1190" s="244" t="s">
        <v>18</v>
      </c>
      <c r="N1190" s="244" t="s">
        <v>19</v>
      </c>
      <c r="O1190" s="244" t="s">
        <v>20</v>
      </c>
      <c r="P1190" s="244" t="s">
        <v>21</v>
      </c>
      <c r="Q1190" s="244" t="s">
        <v>22</v>
      </c>
      <c r="R1190" s="244" t="s">
        <v>23</v>
      </c>
      <c r="S1190" s="20" t="s">
        <v>24</v>
      </c>
      <c r="T1190" s="20" t="s">
        <v>25</v>
      </c>
      <c r="AM1190" s="246"/>
    </row>
    <row r="1191" spans="1:39" ht="51.75" customHeight="1" x14ac:dyDescent="0.25">
      <c r="A1191" s="307">
        <v>38</v>
      </c>
      <c r="B1191" s="17"/>
      <c r="C1191" s="25" t="s">
        <v>305</v>
      </c>
      <c r="D1191" s="19"/>
      <c r="E1191" s="26">
        <v>2025</v>
      </c>
      <c r="F1191" s="27">
        <v>10000</v>
      </c>
      <c r="G1191" s="22"/>
      <c r="H1191" s="22"/>
      <c r="I1191" s="22"/>
      <c r="J1191" s="22"/>
      <c r="K1191" s="22"/>
      <c r="L1191" s="22"/>
      <c r="M1191" s="22"/>
      <c r="N1191" s="22"/>
      <c r="O1191" s="22">
        <v>114000</v>
      </c>
      <c r="P1191" s="22"/>
      <c r="Q1191" s="22"/>
      <c r="R1191" s="22"/>
      <c r="S1191" s="64">
        <f t="shared" ref="S1191:S1198" si="62">SUM(G1191:R1191)</f>
        <v>114000</v>
      </c>
      <c r="T1191" s="29">
        <f>SUM(F1191*IF(E1191=_current_year,_current_month,12)-(S1191))</f>
        <v>6000</v>
      </c>
    </row>
    <row r="1192" spans="1:39" ht="51.75" customHeight="1" x14ac:dyDescent="0.25">
      <c r="A1192" s="320"/>
      <c r="B1192" s="17"/>
      <c r="C1192" s="470"/>
      <c r="D1192" s="19"/>
      <c r="E1192" s="30">
        <v>2024</v>
      </c>
      <c r="F1192" s="27">
        <v>5000</v>
      </c>
      <c r="G1192" s="22">
        <v>60000</v>
      </c>
      <c r="H1192" s="22"/>
      <c r="I1192" s="22"/>
      <c r="J1192" s="22"/>
      <c r="K1192" s="22"/>
      <c r="L1192" s="22"/>
      <c r="M1192" s="22"/>
      <c r="N1192" s="22"/>
      <c r="O1192" s="22"/>
      <c r="P1192" s="22"/>
      <c r="Q1192" s="22"/>
      <c r="R1192" s="22"/>
      <c r="S1192" s="37">
        <f t="shared" si="62"/>
        <v>60000</v>
      </c>
      <c r="T1192" s="22">
        <f>SUM(F1192*IF(E1192=_current_year,_current_month,12)-(S1192))</f>
        <v>0</v>
      </c>
    </row>
    <row r="1193" spans="1:39" ht="51.75" customHeight="1" x14ac:dyDescent="0.25">
      <c r="A1193" s="320"/>
      <c r="B1193" s="17"/>
      <c r="C1193" s="65"/>
      <c r="D1193" s="19"/>
      <c r="E1193" s="30">
        <v>2023</v>
      </c>
      <c r="F1193" s="27">
        <v>5000</v>
      </c>
      <c r="G1193" s="22">
        <v>60000</v>
      </c>
      <c r="H1193" s="22"/>
      <c r="I1193" s="22"/>
      <c r="J1193" s="22"/>
      <c r="K1193" s="22"/>
      <c r="L1193" s="22"/>
      <c r="M1193" s="22"/>
      <c r="N1193" s="22"/>
      <c r="O1193" s="22"/>
      <c r="P1193" s="22"/>
      <c r="Q1193" s="22"/>
      <c r="R1193" s="22"/>
      <c r="S1193" s="37">
        <f t="shared" si="62"/>
        <v>60000</v>
      </c>
      <c r="T1193" s="22">
        <f>SUM(F1193*12)-(S1193)</f>
        <v>0</v>
      </c>
    </row>
    <row r="1194" spans="1:39" s="220" customFormat="1" ht="48" customHeight="1" x14ac:dyDescent="0.4">
      <c r="A1194" s="320"/>
      <c r="B1194" s="33" t="s">
        <v>28</v>
      </c>
      <c r="C1194" s="413" t="s">
        <v>306</v>
      </c>
      <c r="D1194" s="35"/>
      <c r="E1194" s="30">
        <v>2022</v>
      </c>
      <c r="F1194" s="27">
        <v>5000</v>
      </c>
      <c r="G1194" s="36">
        <v>60000</v>
      </c>
      <c r="H1194" s="36"/>
      <c r="I1194" s="36"/>
      <c r="J1194" s="36"/>
      <c r="K1194" s="36"/>
      <c r="L1194" s="36"/>
      <c r="M1194" s="36"/>
      <c r="N1194" s="36"/>
      <c r="O1194" s="36"/>
      <c r="P1194" s="36"/>
      <c r="Q1194" s="36"/>
      <c r="R1194" s="36"/>
      <c r="S1194" s="37">
        <f t="shared" si="62"/>
        <v>60000</v>
      </c>
      <c r="T1194" s="37">
        <f>SUM(60000-S1194)</f>
        <v>0</v>
      </c>
      <c r="AM1194" s="250"/>
    </row>
    <row r="1195" spans="1:39" s="220" customFormat="1" ht="48.75" customHeight="1" x14ac:dyDescent="0.4">
      <c r="A1195" s="313" t="s">
        <v>167</v>
      </c>
      <c r="B1195" s="33" t="s">
        <v>28</v>
      </c>
      <c r="C1195" s="38" t="s">
        <v>52</v>
      </c>
      <c r="D1195" s="124"/>
      <c r="E1195" s="30">
        <v>2021</v>
      </c>
      <c r="F1195" s="251">
        <v>5000</v>
      </c>
      <c r="G1195" s="36"/>
      <c r="H1195" s="36"/>
      <c r="I1195" s="36"/>
      <c r="J1195" s="36"/>
      <c r="K1195" s="36"/>
      <c r="L1195" s="36"/>
      <c r="M1195" s="36"/>
      <c r="N1195" s="36"/>
      <c r="O1195" s="36"/>
      <c r="P1195" s="36"/>
      <c r="Q1195" s="36"/>
      <c r="R1195" s="36"/>
      <c r="S1195" s="252">
        <f t="shared" si="62"/>
        <v>0</v>
      </c>
      <c r="T1195" s="252">
        <f>SUM(60000-S1195)</f>
        <v>60000</v>
      </c>
      <c r="AM1195" s="250"/>
    </row>
    <row r="1196" spans="1:39" s="258" customFormat="1" ht="67.5" customHeight="1" x14ac:dyDescent="0.45">
      <c r="A1196" s="313"/>
      <c r="B1196" s="253" t="s">
        <v>28</v>
      </c>
      <c r="C1196" s="125"/>
      <c r="D1196" s="126"/>
      <c r="E1196" s="254">
        <v>2020</v>
      </c>
      <c r="F1196" s="251">
        <v>5000</v>
      </c>
      <c r="G1196" s="302"/>
      <c r="H1196" s="302">
        <v>60000</v>
      </c>
      <c r="I1196" s="302"/>
      <c r="J1196" s="302">
        <v>36000</v>
      </c>
      <c r="K1196" s="302"/>
      <c r="L1196" s="302"/>
      <c r="M1196" s="302"/>
      <c r="N1196" s="302"/>
      <c r="O1196" s="302"/>
      <c r="P1196" s="302"/>
      <c r="Q1196" s="302"/>
      <c r="R1196" s="302"/>
      <c r="S1196" s="252">
        <f t="shared" si="62"/>
        <v>96000</v>
      </c>
      <c r="T1196" s="257">
        <f>SUM(60000-S1196)</f>
        <v>-36000</v>
      </c>
      <c r="AM1196" s="259"/>
    </row>
    <row r="1197" spans="1:39" s="258" customFormat="1" ht="48.75" customHeight="1" x14ac:dyDescent="0.45">
      <c r="A1197" s="300"/>
      <c r="B1197" s="253"/>
      <c r="C1197" s="125"/>
      <c r="D1197" s="126"/>
      <c r="E1197" s="254">
        <v>2019</v>
      </c>
      <c r="F1197" s="251">
        <v>5000</v>
      </c>
      <c r="G1197" s="302"/>
      <c r="H1197" s="302">
        <v>60000</v>
      </c>
      <c r="I1197" s="302"/>
      <c r="J1197" s="302"/>
      <c r="K1197" s="302"/>
      <c r="L1197" s="302"/>
      <c r="M1197" s="302"/>
      <c r="N1197" s="302"/>
      <c r="O1197" s="302"/>
      <c r="P1197" s="302"/>
      <c r="Q1197" s="302"/>
      <c r="R1197" s="302"/>
      <c r="S1197" s="252">
        <f t="shared" si="62"/>
        <v>60000</v>
      </c>
      <c r="T1197" s="257">
        <f>SUM(60000-S1197)</f>
        <v>0</v>
      </c>
      <c r="AM1197" s="259"/>
    </row>
    <row r="1198" spans="1:39" s="258" customFormat="1" ht="48.75" customHeight="1" x14ac:dyDescent="0.45">
      <c r="A1198" s="300"/>
      <c r="B1198" s="253"/>
      <c r="C1198" s="125"/>
      <c r="D1198" s="126"/>
      <c r="E1198" s="254">
        <v>2018</v>
      </c>
      <c r="F1198" s="254"/>
      <c r="G1198" s="302"/>
      <c r="H1198" s="302"/>
      <c r="I1198" s="302"/>
      <c r="J1198" s="302"/>
      <c r="K1198" s="302"/>
      <c r="L1198" s="302"/>
      <c r="M1198" s="302"/>
      <c r="N1198" s="302"/>
      <c r="O1198" s="302"/>
      <c r="P1198" s="302"/>
      <c r="Q1198" s="302"/>
      <c r="R1198" s="345"/>
      <c r="S1198" s="252">
        <f t="shared" si="62"/>
        <v>0</v>
      </c>
      <c r="T1198" s="252">
        <f>SUM(H1198:S1198)</f>
        <v>0</v>
      </c>
      <c r="AM1198" s="259"/>
    </row>
    <row r="1199" spans="1:39" s="258" customFormat="1" ht="48.75" customHeight="1" thickBot="1" x14ac:dyDescent="0.5">
      <c r="A1199" s="278"/>
      <c r="B1199" s="253"/>
      <c r="C1199" s="253"/>
      <c r="D1199" s="68"/>
      <c r="E1199" s="264"/>
      <c r="F1199" s="265"/>
      <c r="G1199" s="266"/>
      <c r="H1199" s="266"/>
      <c r="I1199" s="266"/>
      <c r="J1199" s="266"/>
      <c r="K1199" s="266"/>
      <c r="L1199" s="266"/>
      <c r="M1199" s="266"/>
      <c r="N1199" s="266"/>
      <c r="O1199" s="266"/>
      <c r="P1199" s="266"/>
      <c r="Q1199" s="266"/>
      <c r="R1199" s="266"/>
      <c r="S1199" s="267">
        <f>SUM(S1191:S1198)</f>
        <v>450000</v>
      </c>
      <c r="T1199" s="268">
        <f>SUM(T1191:T1198)</f>
        <v>30000</v>
      </c>
      <c r="AM1199" s="259"/>
    </row>
    <row r="1210" spans="1:39" ht="110.25" x14ac:dyDescent="0.6">
      <c r="K1210" s="471" t="s">
        <v>307</v>
      </c>
      <c r="L1210" s="471"/>
      <c r="M1210" s="471"/>
      <c r="N1210" s="471"/>
      <c r="O1210" s="471"/>
      <c r="P1210" s="471"/>
      <c r="Q1210" s="471"/>
      <c r="R1210" s="472"/>
    </row>
    <row r="1211" spans="1:39" s="232" customFormat="1" ht="37.5" customHeight="1" x14ac:dyDescent="0.35">
      <c r="A1211" s="11" t="s">
        <v>4</v>
      </c>
      <c r="B1211" s="473"/>
      <c r="C1211" s="473"/>
      <c r="D1211" s="473"/>
      <c r="E1211" s="473"/>
      <c r="F1211" s="473"/>
      <c r="G1211" s="473"/>
      <c r="H1211" s="473"/>
      <c r="I1211" s="473"/>
      <c r="J1211" s="473"/>
      <c r="K1211" s="473"/>
      <c r="L1211" s="473"/>
      <c r="M1211" s="473"/>
      <c r="N1211" s="473"/>
      <c r="O1211" s="473"/>
      <c r="P1211" s="473"/>
      <c r="Q1211" s="473"/>
      <c r="R1211" s="474"/>
      <c r="S1211" s="231" t="s">
        <v>5</v>
      </c>
      <c r="T1211" s="475"/>
      <c r="AM1211" s="233"/>
    </row>
    <row r="1212" spans="1:39" s="374" customFormat="1" ht="52.5" customHeight="1" x14ac:dyDescent="0.4">
      <c r="A1212" s="368" t="s">
        <v>6</v>
      </c>
      <c r="B1212" s="368" t="s">
        <v>7</v>
      </c>
      <c r="C1212" s="369" t="s">
        <v>8</v>
      </c>
      <c r="D1212" s="370" t="s">
        <v>231</v>
      </c>
      <c r="E1212" s="371" t="s">
        <v>10</v>
      </c>
      <c r="F1212" s="372" t="s">
        <v>11</v>
      </c>
      <c r="G1212" s="476" t="s">
        <v>12</v>
      </c>
      <c r="H1212" s="476" t="s">
        <v>13</v>
      </c>
      <c r="I1212" s="476" t="s">
        <v>14</v>
      </c>
      <c r="J1212" s="476" t="s">
        <v>15</v>
      </c>
      <c r="K1212" s="476" t="s">
        <v>16</v>
      </c>
      <c r="L1212" s="476" t="s">
        <v>17</v>
      </c>
      <c r="M1212" s="476" t="s">
        <v>18</v>
      </c>
      <c r="N1212" s="476" t="s">
        <v>19</v>
      </c>
      <c r="O1212" s="476" t="s">
        <v>20</v>
      </c>
      <c r="P1212" s="476" t="s">
        <v>21</v>
      </c>
      <c r="Q1212" s="476" t="s">
        <v>22</v>
      </c>
      <c r="R1212" s="476" t="s">
        <v>23</v>
      </c>
      <c r="S1212" s="20" t="s">
        <v>24</v>
      </c>
      <c r="T1212" s="20" t="s">
        <v>25</v>
      </c>
      <c r="AM1212" s="375"/>
    </row>
    <row r="1213" spans="1:39" ht="51.75" customHeight="1" x14ac:dyDescent="0.25">
      <c r="A1213" s="477" t="s">
        <v>308</v>
      </c>
      <c r="B1213" s="17"/>
      <c r="C1213" s="478" t="s">
        <v>309</v>
      </c>
      <c r="D1213" s="84" t="s">
        <v>310</v>
      </c>
      <c r="E1213" s="26">
        <v>2025</v>
      </c>
      <c r="F1213" s="27">
        <v>10000</v>
      </c>
      <c r="G1213" s="22"/>
      <c r="H1213" s="22"/>
      <c r="I1213" s="22"/>
      <c r="J1213" s="22"/>
      <c r="K1213" s="22"/>
      <c r="L1213" s="22"/>
      <c r="M1213" s="22"/>
      <c r="N1213" s="22"/>
      <c r="O1213" s="22"/>
      <c r="P1213" s="22"/>
      <c r="Q1213" s="22"/>
      <c r="R1213" s="22"/>
      <c r="S1213" s="64">
        <f>SUM(G1213:R1213)</f>
        <v>0</v>
      </c>
      <c r="T1213" s="29">
        <f>SUM(F1213*IF(E1213=_current_year,_current_month,12)-(S1213))</f>
        <v>120000</v>
      </c>
    </row>
    <row r="1214" spans="1:39" ht="51.75" customHeight="1" x14ac:dyDescent="0.25">
      <c r="A1214" s="479"/>
      <c r="B1214" s="17"/>
      <c r="C1214" s="480"/>
      <c r="D1214" s="84" t="s">
        <v>310</v>
      </c>
      <c r="E1214" s="30">
        <v>2024</v>
      </c>
      <c r="F1214" s="27">
        <v>5000</v>
      </c>
      <c r="G1214" s="22">
        <v>40000</v>
      </c>
      <c r="H1214" s="22"/>
      <c r="I1214" s="22"/>
      <c r="J1214" s="22"/>
      <c r="K1214" s="22"/>
      <c r="L1214" s="22"/>
      <c r="M1214" s="22"/>
      <c r="N1214" s="22"/>
      <c r="O1214" s="22"/>
      <c r="P1214" s="22"/>
      <c r="Q1214" s="22"/>
      <c r="R1214" s="22">
        <v>120000</v>
      </c>
      <c r="S1214" s="37">
        <f>SUM(G1214:R1214)</f>
        <v>160000</v>
      </c>
      <c r="T1214" s="22">
        <f>SUM(F1214*IF(E1214=_current_year,_current_month,12)-(S1214))</f>
        <v>-100000</v>
      </c>
    </row>
    <row r="1215" spans="1:39" ht="51.75" customHeight="1" x14ac:dyDescent="0.25">
      <c r="A1215" s="479"/>
      <c r="B1215" s="17"/>
      <c r="C1215" s="481"/>
      <c r="D1215" s="84"/>
      <c r="E1215" s="30">
        <v>2023</v>
      </c>
      <c r="F1215" s="27">
        <v>5000</v>
      </c>
      <c r="G1215" s="336"/>
      <c r="H1215" s="336"/>
      <c r="I1215" s="336"/>
      <c r="J1215" s="336"/>
      <c r="K1215" s="22">
        <v>60000</v>
      </c>
      <c r="L1215" s="22"/>
      <c r="M1215" s="22"/>
      <c r="N1215" s="22"/>
      <c r="O1215" s="22"/>
      <c r="P1215" s="22"/>
      <c r="Q1215" s="22"/>
      <c r="R1215" s="22"/>
      <c r="S1215" s="37">
        <v>60000</v>
      </c>
      <c r="T1215" s="22">
        <f>SUM(F1215*8)-(S1215)</f>
        <v>-20000</v>
      </c>
    </row>
    <row r="1216" spans="1:39" s="220" customFormat="1" ht="48" customHeight="1" x14ac:dyDescent="0.4">
      <c r="A1216" s="479"/>
      <c r="B1216" s="33" t="s">
        <v>28</v>
      </c>
      <c r="C1216" s="85"/>
      <c r="D1216" s="35"/>
      <c r="E1216" s="257"/>
      <c r="F1216" s="302"/>
      <c r="G1216" s="482"/>
      <c r="H1216" s="482"/>
      <c r="I1216" s="482"/>
      <c r="J1216" s="482"/>
      <c r="K1216" s="482"/>
      <c r="L1216" s="482"/>
      <c r="M1216" s="482"/>
      <c r="N1216" s="482"/>
      <c r="O1216" s="482"/>
      <c r="P1216" s="482"/>
      <c r="Q1216" s="482"/>
      <c r="R1216" s="482"/>
      <c r="S1216" s="252"/>
      <c r="T1216" s="257"/>
      <c r="AM1216" s="250"/>
    </row>
    <row r="1217" spans="1:39" s="220" customFormat="1" ht="52.5" customHeight="1" x14ac:dyDescent="0.4">
      <c r="A1217" s="313" t="s">
        <v>311</v>
      </c>
      <c r="B1217" s="33" t="s">
        <v>28</v>
      </c>
      <c r="C1217" s="38" t="s">
        <v>52</v>
      </c>
      <c r="D1217" s="124"/>
      <c r="E1217" s="286"/>
      <c r="F1217" s="276" t="s">
        <v>312</v>
      </c>
      <c r="G1217" s="483"/>
      <c r="H1217" s="483"/>
      <c r="I1217" s="483"/>
      <c r="J1217" s="483"/>
      <c r="K1217" s="483"/>
      <c r="L1217" s="483"/>
      <c r="M1217" s="483"/>
      <c r="N1217" s="483"/>
      <c r="O1217" s="483"/>
      <c r="P1217" s="483"/>
      <c r="Q1217" s="483"/>
      <c r="R1217" s="483"/>
      <c r="S1217" s="275"/>
      <c r="T1217" s="286"/>
      <c r="AM1217" s="250"/>
    </row>
    <row r="1218" spans="1:39" s="258" customFormat="1" ht="52.5" customHeight="1" x14ac:dyDescent="0.45">
      <c r="A1218" s="313"/>
      <c r="B1218" s="381" t="s">
        <v>28</v>
      </c>
      <c r="C1218" s="125"/>
      <c r="D1218" s="126"/>
      <c r="E1218" s="286"/>
      <c r="F1218" s="276" t="s">
        <v>313</v>
      </c>
      <c r="G1218" s="484"/>
      <c r="H1218" s="484"/>
      <c r="I1218" s="484"/>
      <c r="J1218" s="484"/>
      <c r="K1218" s="484"/>
      <c r="L1218" s="484"/>
      <c r="M1218" s="484"/>
      <c r="N1218" s="484"/>
      <c r="O1218" s="484"/>
      <c r="P1218" s="484"/>
      <c r="Q1218" s="484"/>
      <c r="R1218" s="484"/>
      <c r="S1218" s="275"/>
      <c r="T1218" s="286"/>
      <c r="AM1218" s="259"/>
    </row>
    <row r="1219" spans="1:39" s="258" customFormat="1" ht="52.5" customHeight="1" x14ac:dyDescent="0.75">
      <c r="A1219" s="462"/>
      <c r="C1219" s="129"/>
      <c r="D1219" s="130"/>
      <c r="E1219" s="385"/>
      <c r="F1219" s="485"/>
      <c r="G1219" s="484"/>
      <c r="H1219" s="484"/>
      <c r="I1219" s="484"/>
      <c r="J1219" s="484"/>
      <c r="K1219" s="484"/>
      <c r="L1219" s="484"/>
      <c r="M1219" s="484"/>
      <c r="N1219" s="484"/>
      <c r="O1219" s="484"/>
      <c r="P1219" s="484"/>
      <c r="Q1219" s="484"/>
      <c r="R1219" s="484"/>
      <c r="S1219" s="275"/>
      <c r="T1219" s="286"/>
      <c r="AM1219" s="259"/>
    </row>
    <row r="1220" spans="1:39" s="258" customFormat="1" ht="52.5" customHeight="1" thickBot="1" x14ac:dyDescent="0.5">
      <c r="A1220" s="486"/>
      <c r="B1220" s="388"/>
      <c r="C1220" s="487"/>
      <c r="D1220" s="488"/>
      <c r="E1220" s="385"/>
      <c r="F1220" s="265"/>
      <c r="G1220" s="489"/>
      <c r="H1220" s="489"/>
      <c r="I1220" s="489"/>
      <c r="J1220" s="489"/>
      <c r="K1220" s="489"/>
      <c r="L1220" s="489"/>
      <c r="M1220" s="489"/>
      <c r="N1220" s="489"/>
      <c r="O1220" s="489"/>
      <c r="P1220" s="489"/>
      <c r="Q1220" s="489"/>
      <c r="R1220" s="489"/>
      <c r="S1220" s="178">
        <f>SUM(S1212:S1219)</f>
        <v>220000</v>
      </c>
      <c r="T1220" s="87">
        <f>SUM(T1212:T1219)</f>
        <v>0</v>
      </c>
      <c r="AM1220" s="259"/>
    </row>
    <row r="1221" spans="1:39" s="491" customFormat="1" ht="51.75" customHeight="1" x14ac:dyDescent="0.6">
      <c r="A1221" s="225"/>
      <c r="B1221" s="6"/>
      <c r="C1221" s="226"/>
      <c r="D1221" s="490"/>
      <c r="E1221" s="6"/>
      <c r="F1221" s="104"/>
      <c r="G1221" s="226"/>
      <c r="H1221" s="228"/>
      <c r="I1221" s="57"/>
      <c r="Q1221" s="116"/>
      <c r="R1221" s="116"/>
      <c r="S1221" s="229"/>
      <c r="T1221" s="229"/>
      <c r="AM1221" s="492"/>
    </row>
    <row r="1222" spans="1:39" s="232" customFormat="1" ht="51.75" customHeight="1" x14ac:dyDescent="0.35">
      <c r="A1222" s="11" t="s">
        <v>4</v>
      </c>
      <c r="B1222" s="473"/>
      <c r="C1222" s="473"/>
      <c r="D1222" s="473"/>
      <c r="E1222" s="473"/>
      <c r="F1222" s="473"/>
      <c r="G1222" s="473"/>
      <c r="H1222" s="473"/>
      <c r="I1222" s="473"/>
      <c r="J1222" s="473"/>
      <c r="K1222" s="473"/>
      <c r="L1222" s="473"/>
      <c r="M1222" s="473"/>
      <c r="N1222" s="473"/>
      <c r="O1222" s="473"/>
      <c r="P1222" s="473"/>
      <c r="Q1222" s="473"/>
      <c r="R1222" s="474"/>
      <c r="S1222" s="231" t="s">
        <v>5</v>
      </c>
      <c r="T1222" s="475"/>
      <c r="AM1222" s="233"/>
    </row>
    <row r="1223" spans="1:39" s="374" customFormat="1" ht="51.75" customHeight="1" x14ac:dyDescent="0.4">
      <c r="A1223" s="368" t="s">
        <v>6</v>
      </c>
      <c r="B1223" s="368" t="s">
        <v>7</v>
      </c>
      <c r="C1223" s="369" t="s">
        <v>8</v>
      </c>
      <c r="D1223" s="370" t="s">
        <v>231</v>
      </c>
      <c r="E1223" s="371" t="s">
        <v>10</v>
      </c>
      <c r="F1223" s="372" t="s">
        <v>11</v>
      </c>
      <c r="G1223" s="373" t="s">
        <v>12</v>
      </c>
      <c r="H1223" s="373" t="s">
        <v>13</v>
      </c>
      <c r="I1223" s="373" t="s">
        <v>14</v>
      </c>
      <c r="J1223" s="373" t="s">
        <v>15</v>
      </c>
      <c r="K1223" s="373" t="s">
        <v>16</v>
      </c>
      <c r="L1223" s="373" t="s">
        <v>17</v>
      </c>
      <c r="M1223" s="373" t="s">
        <v>18</v>
      </c>
      <c r="N1223" s="373" t="s">
        <v>19</v>
      </c>
      <c r="O1223" s="373" t="s">
        <v>20</v>
      </c>
      <c r="P1223" s="373" t="s">
        <v>21</v>
      </c>
      <c r="Q1223" s="373" t="s">
        <v>22</v>
      </c>
      <c r="R1223" s="373" t="s">
        <v>23</v>
      </c>
      <c r="S1223" s="20" t="s">
        <v>24</v>
      </c>
      <c r="T1223" s="20" t="s">
        <v>25</v>
      </c>
      <c r="AM1223" s="375"/>
    </row>
    <row r="1224" spans="1:39" ht="51.75" customHeight="1" x14ac:dyDescent="0.25">
      <c r="A1224" s="477" t="s">
        <v>314</v>
      </c>
      <c r="B1224" s="17"/>
      <c r="C1224" s="478" t="s">
        <v>315</v>
      </c>
      <c r="D1224" s="84"/>
      <c r="E1224" s="26">
        <v>2025</v>
      </c>
      <c r="F1224" s="27">
        <v>10000</v>
      </c>
      <c r="G1224" s="159"/>
      <c r="H1224" s="159"/>
      <c r="I1224" s="159"/>
      <c r="J1224" s="159"/>
      <c r="K1224" s="159"/>
      <c r="L1224" s="159"/>
      <c r="M1224" s="159"/>
      <c r="N1224" s="159">
        <v>270000</v>
      </c>
      <c r="O1224" s="159"/>
      <c r="P1224" s="159"/>
      <c r="Q1224" s="159"/>
      <c r="R1224" s="159"/>
      <c r="S1224" s="64">
        <f>SUM(G1224:R1224)</f>
        <v>270000</v>
      </c>
      <c r="T1224" s="29">
        <f>SUM(F1224*IF(E1224=_current_year,_current_month,12)-(S1224))</f>
        <v>-150000</v>
      </c>
    </row>
    <row r="1225" spans="1:39" ht="51.75" customHeight="1" x14ac:dyDescent="0.25">
      <c r="A1225" s="493"/>
      <c r="B1225" s="17"/>
      <c r="C1225" s="480"/>
      <c r="D1225" s="84"/>
      <c r="E1225" s="30">
        <v>2024</v>
      </c>
      <c r="F1225" s="27">
        <v>5000</v>
      </c>
      <c r="G1225" s="336"/>
      <c r="H1225" s="336"/>
      <c r="I1225" s="336"/>
      <c r="J1225" s="336"/>
      <c r="K1225" s="159"/>
      <c r="L1225" s="159"/>
      <c r="M1225" s="159"/>
      <c r="N1225" s="159"/>
      <c r="O1225" s="159"/>
      <c r="P1225" s="159"/>
      <c r="Q1225" s="159"/>
      <c r="R1225" s="159"/>
      <c r="S1225" s="37">
        <f>SUM(G1225:R1225)</f>
        <v>0</v>
      </c>
      <c r="T1225" s="159">
        <f>SUM(F1225*8-(S1225))</f>
        <v>40000</v>
      </c>
    </row>
    <row r="1226" spans="1:39" s="220" customFormat="1" ht="51.75" customHeight="1" x14ac:dyDescent="0.4">
      <c r="A1226" s="493"/>
      <c r="B1226" s="33" t="s">
        <v>28</v>
      </c>
      <c r="C1226" s="480"/>
      <c r="D1226" s="58"/>
      <c r="E1226" s="494" t="s">
        <v>316</v>
      </c>
      <c r="F1226" s="495"/>
      <c r="G1226" s="495"/>
      <c r="H1226" s="495"/>
      <c r="I1226" s="495"/>
      <c r="J1226" s="495"/>
      <c r="K1226" s="495"/>
      <c r="L1226" s="495"/>
      <c r="M1226" s="495"/>
      <c r="N1226" s="495"/>
      <c r="O1226" s="495"/>
      <c r="P1226" s="495"/>
      <c r="Q1226" s="495"/>
      <c r="R1226" s="496"/>
      <c r="S1226" s="318">
        <v>250000</v>
      </c>
      <c r="T1226" s="358">
        <f>390000-S1226</f>
        <v>140000</v>
      </c>
      <c r="AM1226" s="250"/>
    </row>
    <row r="1227" spans="1:39" ht="51.75" customHeight="1" x14ac:dyDescent="0.25">
      <c r="A1227" s="493"/>
      <c r="B1227" s="17"/>
      <c r="C1227" s="481"/>
      <c r="D1227" s="19"/>
      <c r="E1227" s="497" t="s">
        <v>317</v>
      </c>
      <c r="F1227" s="498"/>
      <c r="G1227" s="498"/>
      <c r="H1227" s="498"/>
      <c r="I1227" s="498"/>
      <c r="J1227" s="498"/>
      <c r="K1227" s="498"/>
      <c r="L1227" s="498"/>
      <c r="M1227" s="498"/>
      <c r="N1227" s="498"/>
      <c r="O1227" s="498"/>
      <c r="P1227" s="498"/>
      <c r="Q1227" s="498"/>
      <c r="R1227" s="498"/>
      <c r="S1227" s="498"/>
      <c r="T1227" s="498"/>
    </row>
    <row r="1228" spans="1:39" s="220" customFormat="1" ht="51.75" customHeight="1" x14ac:dyDescent="0.4">
      <c r="A1228" s="493"/>
      <c r="B1228" s="33" t="s">
        <v>28</v>
      </c>
      <c r="C1228" s="85"/>
      <c r="D1228" s="35"/>
      <c r="E1228" s="499"/>
      <c r="F1228" s="500"/>
      <c r="G1228" s="500"/>
      <c r="H1228" s="500"/>
      <c r="I1228" s="500"/>
      <c r="J1228" s="500"/>
      <c r="K1228" s="500"/>
      <c r="L1228" s="500"/>
      <c r="M1228" s="500"/>
      <c r="N1228" s="500"/>
      <c r="O1228" s="500"/>
      <c r="P1228" s="500"/>
      <c r="Q1228" s="500"/>
      <c r="R1228" s="500"/>
      <c r="S1228" s="500"/>
      <c r="T1228" s="500"/>
      <c r="AM1228" s="250"/>
    </row>
    <row r="1229" spans="1:39" s="220" customFormat="1" ht="51.75" customHeight="1" x14ac:dyDescent="0.4">
      <c r="A1229" s="313" t="s">
        <v>311</v>
      </c>
      <c r="B1229" s="33" t="s">
        <v>28</v>
      </c>
      <c r="C1229" s="38" t="s">
        <v>52</v>
      </c>
      <c r="D1229" s="124"/>
      <c r="E1229" s="499"/>
      <c r="F1229" s="500"/>
      <c r="G1229" s="500"/>
      <c r="H1229" s="500"/>
      <c r="I1229" s="500"/>
      <c r="J1229" s="500"/>
      <c r="K1229" s="500"/>
      <c r="L1229" s="500"/>
      <c r="M1229" s="500"/>
      <c r="N1229" s="500"/>
      <c r="O1229" s="500"/>
      <c r="P1229" s="500"/>
      <c r="Q1229" s="500"/>
      <c r="R1229" s="500"/>
      <c r="S1229" s="500"/>
      <c r="T1229" s="500"/>
      <c r="AM1229" s="250"/>
    </row>
    <row r="1230" spans="1:39" s="258" customFormat="1" ht="51.75" customHeight="1" x14ac:dyDescent="0.45">
      <c r="A1230" s="313"/>
      <c r="B1230" s="381" t="s">
        <v>28</v>
      </c>
      <c r="C1230" s="125"/>
      <c r="D1230" s="126"/>
      <c r="E1230" s="499"/>
      <c r="F1230" s="500"/>
      <c r="G1230" s="500"/>
      <c r="H1230" s="500"/>
      <c r="I1230" s="500"/>
      <c r="J1230" s="500"/>
      <c r="K1230" s="500"/>
      <c r="L1230" s="500"/>
      <c r="M1230" s="500"/>
      <c r="N1230" s="500"/>
      <c r="O1230" s="500"/>
      <c r="P1230" s="500"/>
      <c r="Q1230" s="500"/>
      <c r="R1230" s="500"/>
      <c r="S1230" s="500"/>
      <c r="T1230" s="500"/>
      <c r="AM1230" s="259"/>
    </row>
    <row r="1231" spans="1:39" s="258" customFormat="1" ht="51.75" customHeight="1" x14ac:dyDescent="0.75">
      <c r="A1231" s="462"/>
      <c r="C1231" s="129"/>
      <c r="D1231" s="130"/>
      <c r="E1231" s="499"/>
      <c r="F1231" s="500"/>
      <c r="G1231" s="500"/>
      <c r="H1231" s="500"/>
      <c r="I1231" s="500"/>
      <c r="J1231" s="500"/>
      <c r="K1231" s="500"/>
      <c r="L1231" s="500"/>
      <c r="M1231" s="500"/>
      <c r="N1231" s="500"/>
      <c r="O1231" s="500"/>
      <c r="P1231" s="500"/>
      <c r="Q1231" s="500"/>
      <c r="R1231" s="500"/>
      <c r="S1231" s="500"/>
      <c r="T1231" s="500"/>
      <c r="AM1231" s="259"/>
    </row>
    <row r="1232" spans="1:39" s="258" customFormat="1" ht="51.75" customHeight="1" thickBot="1" x14ac:dyDescent="0.5">
      <c r="A1232" s="486"/>
      <c r="B1232" s="388"/>
      <c r="C1232" s="487"/>
      <c r="D1232" s="488"/>
      <c r="E1232" s="385"/>
      <c r="F1232" s="265"/>
      <c r="G1232" s="386"/>
      <c r="H1232" s="386"/>
      <c r="I1232" s="386"/>
      <c r="J1232" s="386"/>
      <c r="K1232" s="386"/>
      <c r="L1232" s="386"/>
      <c r="M1232" s="386"/>
      <c r="N1232" s="386"/>
      <c r="O1232" s="386"/>
      <c r="P1232" s="386"/>
      <c r="Q1232" s="386"/>
      <c r="R1232" s="386"/>
      <c r="S1232" s="387">
        <f>SUM(S1223:S1231)</f>
        <v>520000</v>
      </c>
      <c r="T1232" s="87">
        <f>SUM(T1223:T1231)</f>
        <v>30000</v>
      </c>
      <c r="AM1232" s="259"/>
    </row>
    <row r="1233" spans="1:39" s="491" customFormat="1" ht="51.75" customHeight="1" x14ac:dyDescent="0.6">
      <c r="A1233" s="225"/>
      <c r="B1233" s="6"/>
      <c r="C1233" s="226"/>
      <c r="D1233" s="490"/>
      <c r="E1233" s="6"/>
      <c r="F1233" s="157"/>
      <c r="G1233" s="226"/>
      <c r="H1233" s="228"/>
      <c r="I1233" s="57"/>
      <c r="Q1233" s="116"/>
      <c r="R1233" s="116"/>
      <c r="S1233" s="229"/>
      <c r="T1233" s="229"/>
      <c r="AM1233" s="492"/>
    </row>
    <row r="1234" spans="1:39" s="491" customFormat="1" ht="51.75" customHeight="1" x14ac:dyDescent="0.6">
      <c r="A1234" s="225"/>
      <c r="B1234" s="6"/>
      <c r="C1234" s="226"/>
      <c r="D1234" s="490"/>
      <c r="E1234" s="6"/>
      <c r="F1234" s="104"/>
      <c r="G1234" s="226"/>
      <c r="H1234" s="228"/>
      <c r="I1234" s="57"/>
      <c r="Q1234" s="116"/>
      <c r="R1234" s="116"/>
      <c r="S1234" s="229"/>
      <c r="T1234" s="229"/>
      <c r="AM1234" s="492"/>
    </row>
    <row r="1235" spans="1:39" s="232" customFormat="1" ht="37.5" customHeight="1" x14ac:dyDescent="0.35">
      <c r="A1235" s="11" t="s">
        <v>4</v>
      </c>
      <c r="B1235" s="473"/>
      <c r="C1235" s="473"/>
      <c r="D1235" s="473"/>
      <c r="E1235" s="473"/>
      <c r="F1235" s="473"/>
      <c r="G1235" s="473"/>
      <c r="H1235" s="473"/>
      <c r="I1235" s="473"/>
      <c r="J1235" s="473"/>
      <c r="K1235" s="473"/>
      <c r="L1235" s="473"/>
      <c r="M1235" s="473"/>
      <c r="N1235" s="473"/>
      <c r="O1235" s="473"/>
      <c r="P1235" s="473"/>
      <c r="Q1235" s="473"/>
      <c r="R1235" s="474"/>
      <c r="S1235" s="231" t="s">
        <v>5</v>
      </c>
      <c r="T1235" s="475"/>
      <c r="AM1235" s="233"/>
    </row>
    <row r="1236" spans="1:39" s="374" customFormat="1" ht="52.5" customHeight="1" x14ac:dyDescent="0.4">
      <c r="A1236" s="368" t="s">
        <v>6</v>
      </c>
      <c r="B1236" s="368" t="s">
        <v>7</v>
      </c>
      <c r="C1236" s="369" t="s">
        <v>8</v>
      </c>
      <c r="D1236" s="370" t="s">
        <v>231</v>
      </c>
      <c r="E1236" s="371" t="s">
        <v>10</v>
      </c>
      <c r="F1236" s="372" t="s">
        <v>11</v>
      </c>
      <c r="G1236" s="476" t="s">
        <v>12</v>
      </c>
      <c r="H1236" s="476" t="s">
        <v>13</v>
      </c>
      <c r="I1236" s="476" t="s">
        <v>14</v>
      </c>
      <c r="J1236" s="476" t="s">
        <v>15</v>
      </c>
      <c r="K1236" s="476" t="s">
        <v>16</v>
      </c>
      <c r="L1236" s="476" t="s">
        <v>17</v>
      </c>
      <c r="M1236" s="476" t="s">
        <v>18</v>
      </c>
      <c r="N1236" s="476" t="s">
        <v>19</v>
      </c>
      <c r="O1236" s="476" t="s">
        <v>20</v>
      </c>
      <c r="P1236" s="476" t="s">
        <v>21</v>
      </c>
      <c r="Q1236" s="476" t="s">
        <v>22</v>
      </c>
      <c r="R1236" s="476" t="s">
        <v>23</v>
      </c>
      <c r="S1236" s="20" t="s">
        <v>24</v>
      </c>
      <c r="T1236" s="20" t="s">
        <v>25</v>
      </c>
      <c r="AM1236" s="375"/>
    </row>
    <row r="1237" spans="1:39" s="374" customFormat="1" ht="52.5" customHeight="1" x14ac:dyDescent="0.4">
      <c r="A1237" s="477" t="s">
        <v>318</v>
      </c>
      <c r="B1237" s="368"/>
      <c r="C1237" s="478" t="s">
        <v>319</v>
      </c>
      <c r="D1237" s="370"/>
      <c r="E1237" s="26">
        <v>2025</v>
      </c>
      <c r="F1237" s="27">
        <v>10000</v>
      </c>
      <c r="G1237" s="22"/>
      <c r="H1237" s="22">
        <v>20000</v>
      </c>
      <c r="I1237" s="22"/>
      <c r="J1237" s="22">
        <v>30000</v>
      </c>
      <c r="K1237" s="22"/>
      <c r="L1237" s="22"/>
      <c r="M1237" s="22">
        <v>20000</v>
      </c>
      <c r="N1237" s="22">
        <v>20000</v>
      </c>
      <c r="O1237" s="22">
        <v>10000</v>
      </c>
      <c r="P1237" s="22">
        <v>10000</v>
      </c>
      <c r="Q1237" s="22"/>
      <c r="R1237" s="22"/>
      <c r="S1237" s="64">
        <f>SUM(G1237:R1237)</f>
        <v>110000</v>
      </c>
      <c r="T1237" s="29">
        <f>SUM(F1237*IF(E1237=_current_year,_current_month,12)-(S1237))</f>
        <v>10000</v>
      </c>
      <c r="AM1237" s="375"/>
    </row>
    <row r="1238" spans="1:39" s="374" customFormat="1" ht="52.5" customHeight="1" x14ac:dyDescent="0.4">
      <c r="A1238" s="479"/>
      <c r="B1238" s="368"/>
      <c r="C1238" s="480"/>
      <c r="D1238" s="370"/>
      <c r="E1238" s="30">
        <v>2024</v>
      </c>
      <c r="F1238" s="27">
        <v>5000</v>
      </c>
      <c r="G1238" s="22"/>
      <c r="H1238" s="22"/>
      <c r="I1238" s="22"/>
      <c r="J1238" s="22"/>
      <c r="K1238" s="22"/>
      <c r="L1238" s="22"/>
      <c r="M1238" s="22">
        <v>25000</v>
      </c>
      <c r="N1238" s="22"/>
      <c r="O1238" s="22"/>
      <c r="P1238" s="22"/>
      <c r="Q1238" s="22"/>
      <c r="R1238" s="22"/>
      <c r="S1238" s="37">
        <f>SUM(G1238:R1238)</f>
        <v>25000</v>
      </c>
      <c r="T1238" s="22">
        <f>SUM(F1238*IF(E1238=_current_year,_current_month,12)-(S1238))</f>
        <v>35000</v>
      </c>
      <c r="AM1238" s="375"/>
    </row>
    <row r="1239" spans="1:39" ht="51.75" customHeight="1" x14ac:dyDescent="0.25">
      <c r="A1239" s="479"/>
      <c r="B1239" s="17"/>
      <c r="C1239" s="481"/>
      <c r="D1239" s="19"/>
      <c r="E1239" s="30">
        <v>2023</v>
      </c>
      <c r="F1239" s="27">
        <v>5000</v>
      </c>
      <c r="G1239" s="336"/>
      <c r="H1239" s="336"/>
      <c r="I1239" s="336"/>
      <c r="J1239" s="336"/>
      <c r="K1239" s="336"/>
      <c r="L1239" s="336"/>
      <c r="M1239" s="336"/>
      <c r="N1239" s="22">
        <v>30000</v>
      </c>
      <c r="O1239" s="22"/>
      <c r="P1239" s="22"/>
      <c r="Q1239" s="22"/>
      <c r="R1239" s="22">
        <v>30000</v>
      </c>
      <c r="S1239" s="37">
        <f>SUM(M1239:R1239)</f>
        <v>60000</v>
      </c>
      <c r="T1239" s="22">
        <f>SUM(F1239*5)-(S1239)</f>
        <v>-35000</v>
      </c>
    </row>
    <row r="1240" spans="1:39" s="220" customFormat="1" ht="48" customHeight="1" x14ac:dyDescent="0.4">
      <c r="A1240" s="479"/>
      <c r="B1240" s="33" t="s">
        <v>28</v>
      </c>
      <c r="C1240" s="85"/>
      <c r="D1240" s="35"/>
      <c r="E1240" s="501" t="s">
        <v>320</v>
      </c>
      <c r="F1240" s="502"/>
      <c r="G1240" s="502"/>
      <c r="H1240" s="502"/>
      <c r="I1240" s="502"/>
      <c r="J1240" s="502"/>
      <c r="K1240" s="502"/>
      <c r="L1240" s="502"/>
      <c r="M1240" s="502"/>
      <c r="N1240" s="502"/>
      <c r="O1240" s="502"/>
      <c r="P1240" s="502"/>
      <c r="Q1240" s="502"/>
      <c r="R1240" s="503"/>
      <c r="S1240" s="98"/>
      <c r="T1240" s="98"/>
      <c r="AM1240" s="250"/>
    </row>
    <row r="1241" spans="1:39" s="220" customFormat="1" ht="52.5" customHeight="1" x14ac:dyDescent="0.4">
      <c r="A1241" s="313" t="s">
        <v>311</v>
      </c>
      <c r="B1241" s="33" t="s">
        <v>28</v>
      </c>
      <c r="C1241" s="38" t="s">
        <v>52</v>
      </c>
      <c r="D1241" s="124"/>
      <c r="E1241" s="504"/>
      <c r="F1241" s="505"/>
      <c r="G1241" s="505"/>
      <c r="H1241" s="505"/>
      <c r="I1241" s="505"/>
      <c r="J1241" s="505"/>
      <c r="K1241" s="505"/>
      <c r="L1241" s="505"/>
      <c r="M1241" s="505"/>
      <c r="N1241" s="505"/>
      <c r="O1241" s="505"/>
      <c r="P1241" s="505"/>
      <c r="Q1241" s="505"/>
      <c r="R1241" s="506"/>
      <c r="S1241" s="507"/>
      <c r="T1241" s="507"/>
      <c r="AM1241" s="250"/>
    </row>
    <row r="1242" spans="1:39" s="258" customFormat="1" ht="52.5" customHeight="1" x14ac:dyDescent="0.45">
      <c r="A1242" s="313"/>
      <c r="B1242" s="381" t="s">
        <v>28</v>
      </c>
      <c r="C1242" s="125"/>
      <c r="D1242" s="126"/>
      <c r="E1242" s="508"/>
      <c r="F1242" s="509"/>
      <c r="G1242" s="509"/>
      <c r="H1242" s="509"/>
      <c r="I1242" s="509"/>
      <c r="J1242" s="509"/>
      <c r="K1242" s="509"/>
      <c r="L1242" s="509"/>
      <c r="M1242" s="509"/>
      <c r="N1242" s="509"/>
      <c r="O1242" s="509"/>
      <c r="P1242" s="509"/>
      <c r="Q1242" s="509"/>
      <c r="R1242" s="510"/>
      <c r="S1242" s="511"/>
      <c r="T1242" s="511"/>
      <c r="AM1242" s="259"/>
    </row>
    <row r="1243" spans="1:39" s="258" customFormat="1" ht="52.5" customHeight="1" thickBot="1" x14ac:dyDescent="0.5">
      <c r="A1243" s="486"/>
      <c r="B1243" s="388"/>
      <c r="C1243" s="487"/>
      <c r="D1243" s="488"/>
      <c r="E1243" s="385"/>
      <c r="F1243" s="265"/>
      <c r="G1243" s="489"/>
      <c r="H1243" s="489"/>
      <c r="I1243" s="489"/>
      <c r="J1243" s="489"/>
      <c r="K1243" s="489"/>
      <c r="L1243" s="489"/>
      <c r="M1243" s="489"/>
      <c r="N1243" s="489"/>
      <c r="O1243" s="489"/>
      <c r="P1243" s="489"/>
      <c r="Q1243" s="489"/>
      <c r="R1243" s="489"/>
      <c r="S1243" s="178">
        <f>SUM(S1238:S1242)</f>
        <v>85000</v>
      </c>
      <c r="T1243" s="87">
        <f>SUM(T1238:T1242)</f>
        <v>0</v>
      </c>
      <c r="AM1243" s="259"/>
    </row>
    <row r="1244" spans="1:39" s="258" customFormat="1" ht="52.5" customHeight="1" x14ac:dyDescent="0.45">
      <c r="A1244" s="486"/>
      <c r="B1244" s="388"/>
      <c r="C1244" s="487"/>
      <c r="D1244" s="488"/>
      <c r="F1244" s="253"/>
      <c r="G1244" s="512"/>
      <c r="H1244" s="512"/>
      <c r="I1244" s="512"/>
      <c r="J1244" s="512"/>
      <c r="K1244" s="512"/>
      <c r="L1244" s="512"/>
      <c r="M1244" s="512"/>
      <c r="N1244" s="512"/>
      <c r="O1244" s="512"/>
      <c r="P1244" s="512"/>
      <c r="Q1244" s="512"/>
      <c r="R1244" s="512"/>
      <c r="S1244" s="269"/>
      <c r="T1244" s="269"/>
      <c r="AM1244" s="259"/>
    </row>
    <row r="1245" spans="1:39" s="374" customFormat="1" ht="52.5" customHeight="1" x14ac:dyDescent="0.4">
      <c r="A1245" s="368" t="s">
        <v>6</v>
      </c>
      <c r="B1245" s="368" t="s">
        <v>7</v>
      </c>
      <c r="C1245" s="369" t="s">
        <v>8</v>
      </c>
      <c r="D1245" s="370" t="s">
        <v>231</v>
      </c>
      <c r="E1245" s="371" t="s">
        <v>10</v>
      </c>
      <c r="F1245" s="372" t="s">
        <v>11</v>
      </c>
      <c r="G1245" s="476" t="s">
        <v>12</v>
      </c>
      <c r="H1245" s="476" t="s">
        <v>13</v>
      </c>
      <c r="I1245" s="476" t="s">
        <v>14</v>
      </c>
      <c r="J1245" s="476" t="s">
        <v>15</v>
      </c>
      <c r="K1245" s="476" t="s">
        <v>16</v>
      </c>
      <c r="L1245" s="476" t="s">
        <v>17</v>
      </c>
      <c r="M1245" s="476" t="s">
        <v>18</v>
      </c>
      <c r="N1245" s="476" t="s">
        <v>19</v>
      </c>
      <c r="O1245" s="476" t="s">
        <v>20</v>
      </c>
      <c r="P1245" s="476" t="s">
        <v>21</v>
      </c>
      <c r="Q1245" s="476" t="s">
        <v>22</v>
      </c>
      <c r="R1245" s="476" t="s">
        <v>23</v>
      </c>
      <c r="S1245" s="20" t="s">
        <v>24</v>
      </c>
      <c r="T1245" s="20" t="s">
        <v>25</v>
      </c>
      <c r="AM1245" s="375"/>
    </row>
    <row r="1246" spans="1:39" ht="51.75" customHeight="1" x14ac:dyDescent="0.25">
      <c r="A1246" s="477" t="s">
        <v>321</v>
      </c>
      <c r="B1246" s="17"/>
      <c r="C1246" s="377" t="s">
        <v>322</v>
      </c>
      <c r="D1246" s="19"/>
      <c r="E1246" s="26">
        <v>2025</v>
      </c>
      <c r="F1246" s="27">
        <v>10000</v>
      </c>
      <c r="G1246" s="22"/>
      <c r="H1246" s="22"/>
      <c r="I1246" s="22">
        <v>120000</v>
      </c>
      <c r="J1246" s="22"/>
      <c r="K1246" s="22"/>
      <c r="L1246" s="22"/>
      <c r="M1246" s="22"/>
      <c r="N1246" s="22"/>
      <c r="O1246" s="22">
        <v>30000</v>
      </c>
      <c r="P1246" s="22"/>
      <c r="Q1246" s="22"/>
      <c r="R1246" s="22"/>
      <c r="S1246" s="64">
        <f t="shared" ref="S1246:S1251" si="63">SUM(G1246:R1246)</f>
        <v>150000</v>
      </c>
      <c r="T1246" s="29">
        <f>SUM(F1246*IF(E1246=_current_year,_current_month,12)-(S1246))</f>
        <v>-30000</v>
      </c>
    </row>
    <row r="1247" spans="1:39" ht="51.75" customHeight="1" x14ac:dyDescent="0.25">
      <c r="A1247" s="479"/>
      <c r="B1247" s="17"/>
      <c r="C1247" s="379"/>
      <c r="D1247" s="19"/>
      <c r="E1247" s="30">
        <v>2024</v>
      </c>
      <c r="F1247" s="27">
        <v>5000</v>
      </c>
      <c r="G1247" s="22">
        <v>60000</v>
      </c>
      <c r="H1247" s="22"/>
      <c r="I1247" s="22"/>
      <c r="J1247" s="22"/>
      <c r="K1247" s="22"/>
      <c r="L1247" s="22"/>
      <c r="M1247" s="22"/>
      <c r="N1247" s="22"/>
      <c r="O1247" s="22"/>
      <c r="P1247" s="22"/>
      <c r="Q1247" s="22"/>
      <c r="R1247" s="22"/>
      <c r="S1247" s="37">
        <f t="shared" si="63"/>
        <v>60000</v>
      </c>
      <c r="T1247" s="22">
        <f>SUM(F1247*IF(E1247=_current_year,_current_month,12)-(S1247))</f>
        <v>0</v>
      </c>
    </row>
    <row r="1248" spans="1:39" ht="51.75" customHeight="1" x14ac:dyDescent="0.6">
      <c r="A1248" s="479"/>
      <c r="B1248" s="17"/>
      <c r="C1248" s="380"/>
      <c r="D1248" s="19"/>
      <c r="E1248" s="30">
        <v>2023</v>
      </c>
      <c r="F1248" s="27">
        <v>5000</v>
      </c>
      <c r="G1248" s="22">
        <v>60053.7523</v>
      </c>
      <c r="H1248" s="22"/>
      <c r="I1248" s="22"/>
      <c r="J1248" s="22"/>
      <c r="K1248" s="22"/>
      <c r="L1248" s="22"/>
      <c r="M1248" s="22"/>
      <c r="N1248" s="22"/>
      <c r="O1248" s="22"/>
      <c r="P1248" s="22"/>
      <c r="Q1248" s="22"/>
      <c r="S1248" s="37">
        <f t="shared" si="63"/>
        <v>60053.7523</v>
      </c>
      <c r="T1248" s="22">
        <f>SUM(F1248*12)-(S1248)</f>
        <v>-53.752300000000105</v>
      </c>
    </row>
    <row r="1249" spans="1:39 16369:16369" s="220" customFormat="1" ht="48" customHeight="1" x14ac:dyDescent="0.4">
      <c r="A1249" s="479"/>
      <c r="B1249" s="33" t="s">
        <v>28</v>
      </c>
      <c r="C1249" s="34"/>
      <c r="D1249" s="35"/>
      <c r="E1249" s="30">
        <v>2022</v>
      </c>
      <c r="F1249" s="251">
        <v>5000</v>
      </c>
      <c r="G1249" s="36"/>
      <c r="H1249" s="36">
        <v>60000</v>
      </c>
      <c r="I1249" s="36"/>
      <c r="J1249" s="36"/>
      <c r="K1249" s="36"/>
      <c r="L1249" s="36"/>
      <c r="M1249" s="36"/>
      <c r="N1249" s="36"/>
      <c r="O1249" s="36"/>
      <c r="P1249" s="36"/>
      <c r="Q1249" s="36"/>
      <c r="R1249" s="36"/>
      <c r="S1249" s="37">
        <f t="shared" si="63"/>
        <v>60000</v>
      </c>
      <c r="T1249" s="37">
        <f>SUM(60000-S1249)</f>
        <v>0</v>
      </c>
      <c r="AM1249" s="250"/>
    </row>
    <row r="1250" spans="1:39 16369:16369" s="220" customFormat="1" ht="52.5" customHeight="1" x14ac:dyDescent="0.4">
      <c r="A1250" s="313" t="s">
        <v>311</v>
      </c>
      <c r="B1250" s="33" t="s">
        <v>28</v>
      </c>
      <c r="C1250" s="80" t="s">
        <v>52</v>
      </c>
      <c r="D1250" s="80"/>
      <c r="E1250" s="30">
        <v>2021</v>
      </c>
      <c r="F1250" s="251">
        <v>5000</v>
      </c>
      <c r="G1250" s="482"/>
      <c r="H1250" s="482">
        <v>60000</v>
      </c>
      <c r="I1250" s="482"/>
      <c r="J1250" s="482"/>
      <c r="K1250" s="482"/>
      <c r="L1250" s="482"/>
      <c r="M1250" s="482"/>
      <c r="N1250" s="482"/>
      <c r="O1250" s="482"/>
      <c r="P1250" s="482"/>
      <c r="Q1250" s="482"/>
      <c r="R1250" s="482"/>
      <c r="S1250" s="252">
        <f t="shared" si="63"/>
        <v>60000</v>
      </c>
      <c r="T1250" s="252">
        <f>SUM(60000-S1250)</f>
        <v>0</v>
      </c>
      <c r="AM1250" s="250"/>
      <c r="XEO1250" s="220">
        <f>SUM(E1250:XEN1250)</f>
        <v>127021</v>
      </c>
    </row>
    <row r="1251" spans="1:39 16369:16369" s="258" customFormat="1" ht="52.5" customHeight="1" x14ac:dyDescent="0.45">
      <c r="A1251" s="313"/>
      <c r="B1251" s="381" t="s">
        <v>28</v>
      </c>
      <c r="C1251" s="82"/>
      <c r="D1251" s="82"/>
      <c r="E1251" s="513">
        <v>2020</v>
      </c>
      <c r="F1251" s="251">
        <v>5000</v>
      </c>
      <c r="G1251" s="514">
        <v>5000</v>
      </c>
      <c r="H1251" s="514">
        <v>5000</v>
      </c>
      <c r="I1251" s="514">
        <v>5000</v>
      </c>
      <c r="J1251" s="514">
        <v>5000</v>
      </c>
      <c r="K1251" s="514">
        <v>5000</v>
      </c>
      <c r="L1251" s="514">
        <v>5000</v>
      </c>
      <c r="M1251" s="514">
        <v>5000</v>
      </c>
      <c r="N1251" s="514">
        <v>5000</v>
      </c>
      <c r="O1251" s="514">
        <v>5000</v>
      </c>
      <c r="P1251" s="514">
        <v>5000</v>
      </c>
      <c r="Q1251" s="514">
        <v>5000</v>
      </c>
      <c r="R1251" s="514">
        <v>5000</v>
      </c>
      <c r="S1251" s="252">
        <f t="shared" si="63"/>
        <v>60000</v>
      </c>
      <c r="T1251" s="257">
        <f>SUM(60000-S1251)</f>
        <v>0</v>
      </c>
      <c r="AM1251" s="259"/>
    </row>
    <row r="1252" spans="1:39 16369:16369" s="258" customFormat="1" ht="52.5" customHeight="1" x14ac:dyDescent="0.45">
      <c r="A1252" s="515"/>
      <c r="C1252" s="82"/>
      <c r="D1252" s="82"/>
      <c r="E1252" s="513">
        <v>2019</v>
      </c>
      <c r="F1252" s="251">
        <v>5000</v>
      </c>
      <c r="G1252" s="516"/>
      <c r="H1252" s="516"/>
      <c r="I1252" s="516"/>
      <c r="J1252" s="516"/>
      <c r="K1252" s="516"/>
      <c r="L1252" s="516"/>
      <c r="M1252" s="516"/>
      <c r="N1252" s="514"/>
      <c r="O1252" s="514"/>
      <c r="P1252" s="514"/>
      <c r="Q1252" s="514"/>
      <c r="R1252" s="514"/>
      <c r="S1252" s="252">
        <v>0</v>
      </c>
      <c r="T1252" s="252">
        <v>0</v>
      </c>
      <c r="AM1252" s="259"/>
    </row>
    <row r="1253" spans="1:39 16369:16369" s="258" customFormat="1" ht="52.5" customHeight="1" thickBot="1" x14ac:dyDescent="0.5">
      <c r="A1253" s="486"/>
      <c r="B1253" s="388"/>
      <c r="C1253" s="82"/>
      <c r="D1253" s="82"/>
      <c r="E1253" s="385"/>
      <c r="F1253" s="265"/>
      <c r="G1253" s="489"/>
      <c r="H1253" s="489"/>
      <c r="I1253" s="489"/>
      <c r="J1253" s="489"/>
      <c r="K1253" s="489"/>
      <c r="L1253" s="489"/>
      <c r="M1253" s="489"/>
      <c r="N1253" s="489"/>
      <c r="O1253" s="489"/>
      <c r="P1253" s="489"/>
      <c r="Q1253" s="489"/>
      <c r="R1253" s="489"/>
      <c r="S1253" s="178">
        <f>SUM(S1246:S1252)</f>
        <v>450053.75229999999</v>
      </c>
      <c r="T1253" s="87">
        <f>SUM(T1246:T1252)</f>
        <v>-30053.7523</v>
      </c>
      <c r="AM1253" s="259"/>
    </row>
    <row r="1254" spans="1:39 16369:16369" s="258" customFormat="1" ht="52.5" customHeight="1" x14ac:dyDescent="0.45">
      <c r="A1254" s="486"/>
      <c r="B1254" s="388"/>
      <c r="C1254" s="187"/>
      <c r="D1254" s="187"/>
      <c r="E1254" s="385"/>
      <c r="F1254" s="264"/>
      <c r="G1254" s="484"/>
      <c r="H1254" s="484"/>
      <c r="I1254" s="484"/>
      <c r="J1254" s="484"/>
      <c r="K1254" s="484"/>
      <c r="L1254" s="484"/>
      <c r="M1254" s="484"/>
      <c r="N1254" s="484"/>
      <c r="O1254" s="484"/>
      <c r="P1254" s="484"/>
      <c r="Q1254" s="484"/>
      <c r="R1254" s="484"/>
      <c r="S1254" s="517"/>
      <c r="T1254" s="517"/>
      <c r="AM1254" s="259"/>
    </row>
    <row r="1255" spans="1:39 16369:16369" s="258" customFormat="1" ht="52.5" customHeight="1" x14ac:dyDescent="0.45">
      <c r="A1255" s="486"/>
      <c r="B1255" s="388"/>
      <c r="C1255" s="187"/>
      <c r="D1255" s="187"/>
      <c r="E1255" s="385"/>
      <c r="F1255" s="264"/>
      <c r="G1255" s="484"/>
      <c r="H1255" s="484"/>
      <c r="I1255" s="484"/>
      <c r="J1255" s="484"/>
      <c r="K1255" s="484"/>
      <c r="L1255" s="484"/>
      <c r="M1255" s="484"/>
      <c r="N1255" s="484"/>
      <c r="O1255" s="484"/>
      <c r="P1255" s="484"/>
      <c r="Q1255" s="484"/>
      <c r="R1255" s="484"/>
      <c r="S1255" s="517"/>
      <c r="T1255" s="517"/>
      <c r="AM1255" s="259"/>
    </row>
    <row r="1256" spans="1:39 16369:16369" s="374" customFormat="1" ht="51.75" customHeight="1" x14ac:dyDescent="0.4">
      <c r="A1256" s="241" t="s">
        <v>6</v>
      </c>
      <c r="B1256" s="368" t="s">
        <v>7</v>
      </c>
      <c r="C1256" s="369" t="s">
        <v>8</v>
      </c>
      <c r="D1256" s="518" t="s">
        <v>231</v>
      </c>
      <c r="E1256" s="371" t="s">
        <v>10</v>
      </c>
      <c r="F1256" s="372" t="s">
        <v>11</v>
      </c>
      <c r="G1256" s="476" t="s">
        <v>12</v>
      </c>
      <c r="H1256" s="476" t="s">
        <v>13</v>
      </c>
      <c r="I1256" s="476" t="s">
        <v>14</v>
      </c>
      <c r="J1256" s="476" t="s">
        <v>15</v>
      </c>
      <c r="K1256" s="476" t="s">
        <v>16</v>
      </c>
      <c r="L1256" s="476" t="s">
        <v>17</v>
      </c>
      <c r="M1256" s="476" t="s">
        <v>18</v>
      </c>
      <c r="N1256" s="476" t="s">
        <v>19</v>
      </c>
      <c r="O1256" s="476" t="s">
        <v>20</v>
      </c>
      <c r="P1256" s="476" t="s">
        <v>21</v>
      </c>
      <c r="Q1256" s="476" t="s">
        <v>22</v>
      </c>
      <c r="R1256" s="476" t="s">
        <v>23</v>
      </c>
      <c r="S1256" s="20" t="s">
        <v>24</v>
      </c>
      <c r="T1256" s="20" t="s">
        <v>25</v>
      </c>
      <c r="AM1256" s="375"/>
    </row>
    <row r="1257" spans="1:39 16369:16369" ht="51.75" customHeight="1" x14ac:dyDescent="0.25">
      <c r="A1257" s="477" t="s">
        <v>323</v>
      </c>
      <c r="B1257" s="17"/>
      <c r="C1257" s="519" t="s">
        <v>324</v>
      </c>
      <c r="D1257" s="19"/>
      <c r="E1257" s="26">
        <v>2025</v>
      </c>
      <c r="F1257" s="251">
        <v>10000</v>
      </c>
      <c r="G1257" s="22"/>
      <c r="H1257" s="22"/>
      <c r="I1257" s="22"/>
      <c r="J1257" s="22"/>
      <c r="K1257" s="22"/>
      <c r="L1257" s="22"/>
      <c r="M1257" s="22"/>
      <c r="N1257" s="22"/>
      <c r="O1257" s="22"/>
      <c r="P1257" s="22"/>
      <c r="Q1257" s="22"/>
      <c r="R1257" s="22"/>
      <c r="S1257" s="64">
        <f>SUM(G1257:R1257)</f>
        <v>0</v>
      </c>
      <c r="T1257" s="29">
        <f>SUM(F1257*IF(E1257=_current_year,_current_month,12)-(S1257))</f>
        <v>120000</v>
      </c>
    </row>
    <row r="1258" spans="1:39 16369:16369" ht="51.75" customHeight="1" x14ac:dyDescent="0.25">
      <c r="A1258" s="479"/>
      <c r="B1258" s="17"/>
      <c r="C1258" s="520"/>
      <c r="D1258" s="19"/>
      <c r="E1258" s="30">
        <v>2024</v>
      </c>
      <c r="F1258" s="251">
        <v>5000</v>
      </c>
      <c r="G1258" s="22"/>
      <c r="H1258" s="22">
        <v>60000</v>
      </c>
      <c r="I1258" s="22"/>
      <c r="J1258" s="22"/>
      <c r="K1258" s="22"/>
      <c r="L1258" s="22"/>
      <c r="M1258" s="22"/>
      <c r="N1258" s="22"/>
      <c r="O1258" s="22"/>
      <c r="P1258" s="22"/>
      <c r="Q1258" s="22"/>
      <c r="R1258" s="22"/>
      <c r="S1258" s="37">
        <f>SUM(G1258:R1258)</f>
        <v>60000</v>
      </c>
      <c r="T1258" s="22">
        <f>SUM(F1258*IF(E1258=_current_year,_current_month,12)-(S1258))</f>
        <v>0</v>
      </c>
    </row>
    <row r="1259" spans="1:39 16369:16369" ht="51.75" customHeight="1" x14ac:dyDescent="0.4">
      <c r="A1259" s="479"/>
      <c r="B1259" s="17"/>
      <c r="C1259" s="34" t="s">
        <v>325</v>
      </c>
      <c r="D1259" s="19"/>
      <c r="E1259" s="30">
        <v>2023</v>
      </c>
      <c r="F1259" s="251">
        <v>5000</v>
      </c>
      <c r="G1259" s="22"/>
      <c r="H1259" s="336"/>
      <c r="I1259" s="22"/>
      <c r="J1259" s="22"/>
      <c r="K1259" s="22"/>
      <c r="L1259" s="22"/>
      <c r="M1259" s="22"/>
      <c r="N1259" s="22"/>
      <c r="O1259" s="22"/>
      <c r="P1259" s="22"/>
      <c r="Q1259" s="22"/>
      <c r="R1259" s="22"/>
      <c r="S1259" s="37">
        <f>SUM(G1259:R1259)</f>
        <v>0</v>
      </c>
      <c r="T1259" s="159">
        <f>SUM(F1259*10)-(S1259)</f>
        <v>50000</v>
      </c>
    </row>
    <row r="1260" spans="1:39 16369:16369" ht="51.75" customHeight="1" x14ac:dyDescent="0.25">
      <c r="A1260" s="479"/>
      <c r="B1260" s="17"/>
      <c r="C1260" s="80" t="s">
        <v>52</v>
      </c>
      <c r="D1260" s="80"/>
      <c r="E1260" s="73"/>
      <c r="F1260" s="74"/>
      <c r="G1260" s="74"/>
      <c r="H1260" s="74"/>
      <c r="I1260" s="74"/>
      <c r="J1260" s="74"/>
      <c r="K1260" s="74"/>
      <c r="L1260" s="74"/>
      <c r="M1260" s="74"/>
      <c r="N1260" s="74"/>
      <c r="O1260" s="74"/>
      <c r="P1260" s="74"/>
      <c r="Q1260" s="74"/>
      <c r="R1260" s="74"/>
      <c r="S1260" s="75"/>
      <c r="T1260" s="521"/>
    </row>
    <row r="1261" spans="1:39 16369:16369" s="220" customFormat="1" ht="51.75" customHeight="1" x14ac:dyDescent="0.4">
      <c r="A1261" s="313" t="s">
        <v>311</v>
      </c>
      <c r="B1261" s="33" t="s">
        <v>28</v>
      </c>
      <c r="C1261" s="82"/>
      <c r="D1261" s="82"/>
      <c r="E1261" s="77"/>
      <c r="F1261" s="78"/>
      <c r="G1261" s="78"/>
      <c r="H1261" s="78"/>
      <c r="I1261" s="78"/>
      <c r="J1261" s="78"/>
      <c r="K1261" s="78"/>
      <c r="L1261" s="78"/>
      <c r="M1261" s="78"/>
      <c r="N1261" s="78"/>
      <c r="O1261" s="78"/>
      <c r="P1261" s="78"/>
      <c r="Q1261" s="78"/>
      <c r="R1261" s="78"/>
      <c r="S1261" s="79"/>
      <c r="T1261" s="522"/>
      <c r="AM1261" s="250"/>
    </row>
    <row r="1262" spans="1:39 16369:16369" s="523" customFormat="1" ht="51.75" customHeight="1" x14ac:dyDescent="0.35">
      <c r="A1262" s="313"/>
      <c r="B1262" s="523" t="s">
        <v>326</v>
      </c>
      <c r="C1262" s="82"/>
      <c r="D1262" s="82"/>
      <c r="E1262" s="167"/>
      <c r="F1262" s="168"/>
      <c r="G1262" s="168"/>
      <c r="H1262" s="168"/>
      <c r="I1262" s="168"/>
      <c r="J1262" s="168"/>
      <c r="K1262" s="168"/>
      <c r="L1262" s="168"/>
      <c r="M1262" s="168"/>
      <c r="N1262" s="168"/>
      <c r="O1262" s="168"/>
      <c r="P1262" s="168"/>
      <c r="Q1262" s="168"/>
      <c r="R1262" s="168"/>
      <c r="S1262" s="169"/>
      <c r="T1262" s="524"/>
      <c r="AM1262" s="525"/>
    </row>
    <row r="1263" spans="1:39 16369:16369" s="523" customFormat="1" ht="51.75" customHeight="1" thickBot="1" x14ac:dyDescent="0.45">
      <c r="A1263" s="253"/>
      <c r="C1263" s="82"/>
      <c r="D1263" s="82"/>
      <c r="E1263" s="526"/>
      <c r="F1263" s="265"/>
      <c r="G1263" s="489"/>
      <c r="H1263" s="489"/>
      <c r="I1263" s="489"/>
      <c r="J1263" s="489"/>
      <c r="K1263" s="489"/>
      <c r="L1263" s="489"/>
      <c r="M1263" s="489"/>
      <c r="N1263" s="489"/>
      <c r="O1263" s="489"/>
      <c r="P1263" s="489"/>
      <c r="Q1263" s="489"/>
      <c r="R1263" s="489"/>
      <c r="S1263" s="178">
        <f>SUM(S1257:S1262)</f>
        <v>60000</v>
      </c>
      <c r="T1263" s="87">
        <f>SUM(T1257:T1262)</f>
        <v>170000</v>
      </c>
      <c r="AM1263" s="525"/>
    </row>
    <row r="1264" spans="1:39 16369:16369" s="523" customFormat="1" ht="51.75" customHeight="1" x14ac:dyDescent="0.4">
      <c r="A1264" s="253"/>
      <c r="C1264" s="187"/>
      <c r="D1264" s="187"/>
      <c r="E1264" s="526"/>
      <c r="F1264" s="264"/>
      <c r="G1264" s="484"/>
      <c r="H1264" s="484"/>
      <c r="I1264" s="484"/>
      <c r="J1264" s="484"/>
      <c r="K1264" s="484"/>
      <c r="L1264" s="484"/>
      <c r="M1264" s="484"/>
      <c r="N1264" s="484"/>
      <c r="O1264" s="484"/>
      <c r="P1264" s="484"/>
      <c r="Q1264" s="484"/>
      <c r="R1264" s="484"/>
      <c r="S1264"/>
      <c r="T1264"/>
      <c r="U1264"/>
      <c r="AM1264" s="525"/>
    </row>
    <row r="1265" spans="1:39" s="523" customFormat="1" ht="51.75" customHeight="1" x14ac:dyDescent="0.4">
      <c r="A1265" s="253"/>
      <c r="C1265" s="187"/>
      <c r="D1265" s="187"/>
      <c r="E1265" s="526"/>
      <c r="F1265" s="264"/>
      <c r="G1265" s="484"/>
      <c r="H1265" s="484"/>
      <c r="I1265" s="484"/>
      <c r="J1265" s="484"/>
      <c r="K1265" s="484"/>
      <c r="L1265" s="484"/>
      <c r="M1265" s="484"/>
      <c r="N1265" s="484"/>
      <c r="O1265" s="484"/>
      <c r="P1265" s="484"/>
      <c r="Q1265" s="484"/>
      <c r="R1265" s="484"/>
      <c r="S1265"/>
      <c r="T1265"/>
      <c r="U1265"/>
      <c r="AM1265" s="525"/>
    </row>
    <row r="1266" spans="1:39" s="374" customFormat="1" ht="52.5" customHeight="1" x14ac:dyDescent="0.4">
      <c r="A1266" s="368" t="s">
        <v>6</v>
      </c>
      <c r="B1266" s="368" t="s">
        <v>7</v>
      </c>
      <c r="C1266" s="369" t="s">
        <v>8</v>
      </c>
      <c r="D1266" s="370" t="s">
        <v>231</v>
      </c>
      <c r="E1266" s="371" t="s">
        <v>10</v>
      </c>
      <c r="F1266" s="372" t="s">
        <v>11</v>
      </c>
      <c r="G1266" s="476" t="s">
        <v>12</v>
      </c>
      <c r="H1266" s="476" t="s">
        <v>13</v>
      </c>
      <c r="I1266" s="476" t="s">
        <v>14</v>
      </c>
      <c r="J1266" s="476" t="s">
        <v>15</v>
      </c>
      <c r="K1266" s="476" t="s">
        <v>16</v>
      </c>
      <c r="L1266" s="476" t="s">
        <v>17</v>
      </c>
      <c r="M1266" s="476" t="s">
        <v>18</v>
      </c>
      <c r="N1266" s="476" t="s">
        <v>19</v>
      </c>
      <c r="O1266" s="476" t="s">
        <v>20</v>
      </c>
      <c r="P1266" s="476" t="s">
        <v>21</v>
      </c>
      <c r="Q1266" s="476" t="s">
        <v>22</v>
      </c>
      <c r="R1266" s="476" t="s">
        <v>23</v>
      </c>
      <c r="S1266" s="20" t="s">
        <v>24</v>
      </c>
      <c r="T1266" s="20" t="s">
        <v>25</v>
      </c>
      <c r="AM1266" s="375"/>
    </row>
    <row r="1267" spans="1:39" ht="51.75" customHeight="1" x14ac:dyDescent="0.25">
      <c r="A1267" s="477" t="s">
        <v>327</v>
      </c>
      <c r="B1267" s="17"/>
      <c r="C1267" s="527" t="s">
        <v>328</v>
      </c>
      <c r="D1267" s="84" t="s">
        <v>329</v>
      </c>
      <c r="E1267" s="26">
        <v>2025</v>
      </c>
      <c r="F1267" s="27">
        <v>10000</v>
      </c>
      <c r="G1267" s="22"/>
      <c r="H1267" s="22"/>
      <c r="I1267" s="22"/>
      <c r="J1267" s="22"/>
      <c r="K1267" s="22"/>
      <c r="L1267" s="22"/>
      <c r="M1267" s="22">
        <v>140000</v>
      </c>
      <c r="N1267" s="22"/>
      <c r="O1267" s="22"/>
      <c r="P1267" s="22"/>
      <c r="Q1267" s="22"/>
      <c r="R1267" s="22"/>
      <c r="S1267" s="64">
        <f>SUM(G1267:R1267)</f>
        <v>140000</v>
      </c>
      <c r="T1267" s="29">
        <f>SUM(F1267*IF(E1267=_current_year,_current_month,12)-(S1267))</f>
        <v>-20000</v>
      </c>
    </row>
    <row r="1268" spans="1:39" ht="51.75" customHeight="1" x14ac:dyDescent="0.25">
      <c r="A1268" s="479"/>
      <c r="B1268" s="17"/>
      <c r="C1268" s="528"/>
      <c r="D1268" s="84" t="s">
        <v>329</v>
      </c>
      <c r="E1268" s="30">
        <v>2024</v>
      </c>
      <c r="F1268" s="27">
        <v>5000</v>
      </c>
      <c r="G1268" s="22"/>
      <c r="H1268" s="22"/>
      <c r="I1268" s="22"/>
      <c r="J1268" s="22"/>
      <c r="K1268" s="22"/>
      <c r="L1268" s="22"/>
      <c r="M1268" s="22"/>
      <c r="N1268" s="22"/>
      <c r="O1268" s="22"/>
      <c r="P1268" s="22"/>
      <c r="Q1268" s="22"/>
      <c r="R1268" s="22"/>
      <c r="S1268" s="37">
        <f>SUM(G1268:R1268)</f>
        <v>0</v>
      </c>
      <c r="T1268" s="22">
        <f>SUM(F1268*IF(E1268=_current_year,_current_month,12)-(S1268))</f>
        <v>60000</v>
      </c>
    </row>
    <row r="1269" spans="1:39" ht="51.75" customHeight="1" x14ac:dyDescent="0.25">
      <c r="A1269" s="479"/>
      <c r="B1269" s="17"/>
      <c r="C1269" s="529"/>
      <c r="D1269" s="84"/>
      <c r="E1269" s="30">
        <v>2023</v>
      </c>
      <c r="F1269" s="27">
        <v>5000</v>
      </c>
      <c r="G1269" s="336"/>
      <c r="H1269" s="336"/>
      <c r="I1269" s="336"/>
      <c r="J1269" s="336"/>
      <c r="K1269" s="22"/>
      <c r="L1269" s="22"/>
      <c r="M1269" s="22"/>
      <c r="N1269" s="22"/>
      <c r="O1269" s="530">
        <v>260000</v>
      </c>
      <c r="P1269" s="22"/>
      <c r="Q1269" s="22"/>
      <c r="R1269" s="22"/>
      <c r="S1269" s="37">
        <f>SUM(G1269:R1269)</f>
        <v>260000</v>
      </c>
      <c r="T1269" s="22">
        <f>SUM(F1269*4)-(S1269-200000)</f>
        <v>-40000</v>
      </c>
    </row>
    <row r="1270" spans="1:39" s="220" customFormat="1" ht="48" customHeight="1" x14ac:dyDescent="0.4">
      <c r="A1270" s="479"/>
      <c r="B1270" s="33" t="s">
        <v>28</v>
      </c>
      <c r="C1270" s="85" t="s">
        <v>330</v>
      </c>
      <c r="D1270" s="35"/>
      <c r="E1270" s="257"/>
      <c r="F1270" s="302"/>
      <c r="G1270" s="482"/>
      <c r="H1270" s="482"/>
      <c r="I1270" s="482"/>
      <c r="J1270" s="482"/>
      <c r="K1270" s="482"/>
      <c r="L1270" s="482"/>
      <c r="M1270" s="482"/>
      <c r="N1270" s="482"/>
      <c r="O1270" s="482"/>
      <c r="P1270" s="482"/>
      <c r="Q1270" s="482"/>
      <c r="R1270" s="482"/>
      <c r="S1270" s="252"/>
      <c r="T1270" s="257"/>
      <c r="AM1270" s="250"/>
    </row>
    <row r="1271" spans="1:39" s="220" customFormat="1" ht="52.5" customHeight="1" x14ac:dyDescent="0.4">
      <c r="A1271" s="313" t="s">
        <v>311</v>
      </c>
      <c r="B1271" s="33" t="s">
        <v>28</v>
      </c>
      <c r="C1271" s="38" t="s">
        <v>52</v>
      </c>
      <c r="D1271" s="124"/>
      <c r="E1271" s="286"/>
      <c r="F1271" s="276" t="s">
        <v>331</v>
      </c>
      <c r="G1271" s="483"/>
      <c r="H1271" s="483"/>
      <c r="I1271" s="483"/>
      <c r="J1271" s="483"/>
      <c r="K1271" s="483"/>
      <c r="L1271" s="483"/>
      <c r="M1271" s="483"/>
      <c r="N1271" s="483"/>
      <c r="O1271" s="483"/>
      <c r="P1271" s="483"/>
      <c r="Q1271" s="483"/>
      <c r="R1271" s="483"/>
      <c r="S1271" s="275"/>
      <c r="T1271" s="286"/>
      <c r="AM1271" s="250"/>
    </row>
    <row r="1272" spans="1:39" s="258" customFormat="1" ht="52.5" customHeight="1" x14ac:dyDescent="0.45">
      <c r="A1272" s="313"/>
      <c r="B1272" s="381" t="s">
        <v>28</v>
      </c>
      <c r="C1272" s="125"/>
      <c r="D1272" s="126"/>
      <c r="E1272" s="286"/>
      <c r="F1272" s="276" t="s">
        <v>332</v>
      </c>
      <c r="G1272" s="484"/>
      <c r="H1272" s="484"/>
      <c r="I1272" s="484"/>
      <c r="J1272" s="484"/>
      <c r="K1272" s="484"/>
      <c r="L1272" s="484"/>
      <c r="M1272" s="484"/>
      <c r="N1272" s="484"/>
      <c r="O1272" s="484"/>
      <c r="P1272" s="484"/>
      <c r="Q1272" s="484"/>
      <c r="R1272" s="484"/>
      <c r="S1272" s="275"/>
      <c r="T1272" s="286"/>
      <c r="AM1272" s="259"/>
    </row>
    <row r="1273" spans="1:39" s="258" customFormat="1" ht="52.5" customHeight="1" x14ac:dyDescent="0.75">
      <c r="A1273" s="462"/>
      <c r="C1273" s="129"/>
      <c r="D1273" s="130"/>
      <c r="E1273" s="385"/>
      <c r="F1273" s="485"/>
      <c r="G1273" s="484"/>
      <c r="H1273" s="484"/>
      <c r="I1273" s="484"/>
      <c r="J1273" s="484"/>
      <c r="K1273" s="484"/>
      <c r="L1273" s="484"/>
      <c r="M1273" s="484"/>
      <c r="N1273" s="484"/>
      <c r="O1273" s="484"/>
      <c r="P1273" s="484"/>
      <c r="Q1273" s="484"/>
      <c r="R1273" s="484"/>
      <c r="S1273" s="275"/>
      <c r="T1273" s="286"/>
      <c r="AM1273" s="259"/>
    </row>
    <row r="1274" spans="1:39" s="258" customFormat="1" ht="52.5" customHeight="1" thickBot="1" x14ac:dyDescent="0.5">
      <c r="A1274" s="486"/>
      <c r="B1274" s="388"/>
      <c r="C1274" s="487"/>
      <c r="D1274" s="488"/>
      <c r="E1274" s="385"/>
      <c r="F1274" s="265"/>
      <c r="G1274" s="489"/>
      <c r="H1274" s="489"/>
      <c r="I1274" s="489"/>
      <c r="J1274" s="489"/>
      <c r="K1274" s="489"/>
      <c r="L1274" s="489"/>
      <c r="M1274" s="489"/>
      <c r="N1274" s="489"/>
      <c r="O1274" s="489"/>
      <c r="P1274" s="489"/>
      <c r="Q1274" s="489"/>
      <c r="R1274" s="489"/>
      <c r="S1274" s="178">
        <f>SUM(S1266:S1273)</f>
        <v>400000</v>
      </c>
      <c r="T1274" s="87">
        <f>SUM(T1266:T1273)</f>
        <v>0</v>
      </c>
      <c r="AM1274" s="259"/>
    </row>
    <row r="1275" spans="1:39" s="258" customFormat="1" ht="52.5" customHeight="1" x14ac:dyDescent="0.45">
      <c r="A1275" s="486"/>
      <c r="B1275" s="388"/>
      <c r="C1275" s="531"/>
      <c r="D1275" s="532"/>
      <c r="F1275" s="253"/>
      <c r="G1275" s="512"/>
      <c r="H1275" s="512"/>
      <c r="I1275" s="512"/>
      <c r="J1275" s="512"/>
      <c r="K1275" s="512"/>
      <c r="L1275" s="512"/>
      <c r="M1275" s="512"/>
      <c r="N1275" s="512"/>
      <c r="O1275" s="512"/>
      <c r="P1275" s="512"/>
      <c r="Q1275" s="512"/>
      <c r="R1275" s="512"/>
      <c r="S1275" s="269"/>
      <c r="T1275" s="269"/>
      <c r="AM1275" s="259"/>
    </row>
    <row r="1276" spans="1:39" s="374" customFormat="1" ht="52.5" customHeight="1" x14ac:dyDescent="0.4">
      <c r="A1276" s="368" t="s">
        <v>6</v>
      </c>
      <c r="B1276" s="368" t="s">
        <v>7</v>
      </c>
      <c r="C1276" s="369" t="s">
        <v>8</v>
      </c>
      <c r="D1276" s="370" t="s">
        <v>231</v>
      </c>
      <c r="E1276" s="371" t="s">
        <v>10</v>
      </c>
      <c r="F1276" s="372" t="s">
        <v>11</v>
      </c>
      <c r="G1276" s="476" t="s">
        <v>12</v>
      </c>
      <c r="H1276" s="476" t="s">
        <v>13</v>
      </c>
      <c r="I1276" s="476" t="s">
        <v>14</v>
      </c>
      <c r="J1276" s="476" t="s">
        <v>15</v>
      </c>
      <c r="K1276" s="476" t="s">
        <v>16</v>
      </c>
      <c r="L1276" s="476" t="s">
        <v>17</v>
      </c>
      <c r="M1276" s="476" t="s">
        <v>18</v>
      </c>
      <c r="N1276" s="476" t="s">
        <v>19</v>
      </c>
      <c r="O1276" s="476" t="s">
        <v>20</v>
      </c>
      <c r="P1276" s="476" t="s">
        <v>21</v>
      </c>
      <c r="Q1276" s="476" t="s">
        <v>22</v>
      </c>
      <c r="R1276" s="476" t="s">
        <v>23</v>
      </c>
      <c r="S1276" s="20" t="s">
        <v>24</v>
      </c>
      <c r="T1276" s="20" t="s">
        <v>25</v>
      </c>
      <c r="AM1276" s="375"/>
    </row>
    <row r="1277" spans="1:39" ht="51.75" customHeight="1" x14ac:dyDescent="0.25">
      <c r="A1277" s="533">
        <v>4</v>
      </c>
      <c r="B1277" s="17"/>
      <c r="C1277" s="377" t="s">
        <v>333</v>
      </c>
      <c r="D1277" s="19"/>
      <c r="E1277" s="26">
        <v>2025</v>
      </c>
      <c r="F1277" s="27">
        <v>10000</v>
      </c>
      <c r="G1277" s="22"/>
      <c r="H1277" s="442">
        <v>120000</v>
      </c>
      <c r="I1277" s="22"/>
      <c r="J1277" s="36"/>
      <c r="K1277" s="22"/>
      <c r="L1277" s="22"/>
      <c r="M1277" s="22"/>
      <c r="N1277" s="22"/>
      <c r="O1277" s="22"/>
      <c r="P1277" s="22"/>
      <c r="Q1277" s="22"/>
      <c r="R1277" s="22"/>
      <c r="S1277" s="64">
        <f t="shared" ref="S1277:S1284" si="64">SUM(G1277:R1277)</f>
        <v>120000</v>
      </c>
      <c r="T1277" s="29">
        <f>SUM(F1277*IF(E1277=_current_year,_current_month,12)-(S1277))</f>
        <v>0</v>
      </c>
    </row>
    <row r="1278" spans="1:39" ht="51.75" customHeight="1" x14ac:dyDescent="0.25">
      <c r="A1278" s="534"/>
      <c r="B1278" s="17"/>
      <c r="C1278" s="379"/>
      <c r="D1278" s="19"/>
      <c r="E1278" s="30">
        <v>2024</v>
      </c>
      <c r="F1278" s="27">
        <v>5000</v>
      </c>
      <c r="G1278" s="22"/>
      <c r="H1278" s="22"/>
      <c r="I1278" s="22"/>
      <c r="J1278" s="36"/>
      <c r="K1278" s="22"/>
      <c r="L1278" s="22"/>
      <c r="M1278" s="22"/>
      <c r="N1278" s="22"/>
      <c r="O1278" s="22"/>
      <c r="P1278" s="22"/>
      <c r="Q1278" s="22"/>
      <c r="R1278" s="22"/>
      <c r="S1278" s="37">
        <f t="shared" si="64"/>
        <v>0</v>
      </c>
      <c r="T1278" s="22">
        <f>SUM(F1278*IF(E1278=_current_year,_current_month,12)-(S1278))</f>
        <v>60000</v>
      </c>
    </row>
    <row r="1279" spans="1:39" ht="51.75" customHeight="1" x14ac:dyDescent="0.25">
      <c r="A1279" s="534"/>
      <c r="B1279" s="17"/>
      <c r="C1279" s="379"/>
      <c r="D1279" s="19"/>
      <c r="E1279" s="30">
        <v>2023</v>
      </c>
      <c r="F1279" s="27">
        <v>5000</v>
      </c>
      <c r="G1279" s="22"/>
      <c r="H1279" s="22"/>
      <c r="I1279" s="22"/>
      <c r="J1279" s="36">
        <v>60000</v>
      </c>
      <c r="K1279" s="22"/>
      <c r="L1279" s="22"/>
      <c r="M1279" s="22"/>
      <c r="N1279" s="22"/>
      <c r="O1279" s="22"/>
      <c r="P1279" s="22"/>
      <c r="Q1279" s="22"/>
      <c r="R1279" s="22">
        <v>60000</v>
      </c>
      <c r="S1279" s="37">
        <f t="shared" si="64"/>
        <v>120000</v>
      </c>
      <c r="T1279" s="22">
        <f>SUM(F1279*IF(E1279=_current_year,_current_month,12)-(S1279))</f>
        <v>-60000</v>
      </c>
    </row>
    <row r="1280" spans="1:39" s="220" customFormat="1" ht="48" customHeight="1" x14ac:dyDescent="0.4">
      <c r="A1280" s="534"/>
      <c r="B1280" s="33" t="s">
        <v>28</v>
      </c>
      <c r="C1280" s="380"/>
      <c r="D1280" s="35"/>
      <c r="E1280" s="30">
        <v>2022</v>
      </c>
      <c r="F1280" s="251">
        <v>5000</v>
      </c>
      <c r="G1280" s="36"/>
      <c r="H1280" s="36">
        <v>60000</v>
      </c>
      <c r="I1280" s="36"/>
      <c r="J1280" s="36"/>
      <c r="K1280" s="36"/>
      <c r="L1280" s="36"/>
      <c r="M1280" s="36"/>
      <c r="N1280" s="36"/>
      <c r="O1280" s="36"/>
      <c r="P1280" s="36"/>
      <c r="Q1280" s="36"/>
      <c r="R1280" s="36"/>
      <c r="S1280" s="37">
        <f t="shared" si="64"/>
        <v>60000</v>
      </c>
      <c r="T1280" s="37">
        <f>SUM(60000-S1280)</f>
        <v>0</v>
      </c>
      <c r="AM1280" s="250"/>
    </row>
    <row r="1281" spans="1:39" s="220" customFormat="1" ht="52.5" customHeight="1" x14ac:dyDescent="0.4">
      <c r="A1281" s="313" t="s">
        <v>311</v>
      </c>
      <c r="B1281" s="33" t="s">
        <v>28</v>
      </c>
      <c r="C1281" s="38" t="s">
        <v>52</v>
      </c>
      <c r="D1281" s="124"/>
      <c r="E1281" s="30">
        <v>2021</v>
      </c>
      <c r="F1281" s="251">
        <v>5000</v>
      </c>
      <c r="G1281" s="482"/>
      <c r="H1281" s="482">
        <v>60000</v>
      </c>
      <c r="I1281" s="482"/>
      <c r="J1281" s="482"/>
      <c r="K1281" s="482"/>
      <c r="L1281" s="482"/>
      <c r="M1281" s="482"/>
      <c r="N1281" s="482"/>
      <c r="O1281" s="482"/>
      <c r="P1281" s="482"/>
      <c r="Q1281" s="482"/>
      <c r="R1281" s="482"/>
      <c r="S1281" s="252">
        <f t="shared" si="64"/>
        <v>60000</v>
      </c>
      <c r="T1281" s="252">
        <f>SUM(60000-S1281)</f>
        <v>0</v>
      </c>
      <c r="AM1281" s="250"/>
    </row>
    <row r="1282" spans="1:39" s="258" customFormat="1" ht="52.5" customHeight="1" x14ac:dyDescent="0.45">
      <c r="A1282" s="313"/>
      <c r="B1282" s="381" t="s">
        <v>28</v>
      </c>
      <c r="C1282" s="125"/>
      <c r="D1282" s="126"/>
      <c r="E1282" s="513">
        <v>2020</v>
      </c>
      <c r="F1282" s="251">
        <v>5000</v>
      </c>
      <c r="G1282" s="516"/>
      <c r="H1282" s="535">
        <v>60000</v>
      </c>
      <c r="I1282" s="516"/>
      <c r="J1282" s="516"/>
      <c r="K1282" s="516"/>
      <c r="L1282" s="516"/>
      <c r="M1282" s="516"/>
      <c r="N1282" s="516"/>
      <c r="O1282" s="516"/>
      <c r="P1282" s="516"/>
      <c r="Q1282" s="516"/>
      <c r="R1282" s="516"/>
      <c r="S1282" s="252">
        <f t="shared" si="64"/>
        <v>60000</v>
      </c>
      <c r="T1282" s="257">
        <f>SUM(60000-S1282)</f>
        <v>0</v>
      </c>
      <c r="AM1282" s="259"/>
    </row>
    <row r="1283" spans="1:39" s="258" customFormat="1" ht="52.5" customHeight="1" x14ac:dyDescent="0.45">
      <c r="A1283" s="536"/>
      <c r="C1283" s="125"/>
      <c r="D1283" s="126"/>
      <c r="E1283" s="513">
        <v>2019</v>
      </c>
      <c r="F1283" s="251">
        <v>5000</v>
      </c>
      <c r="G1283" s="514">
        <v>5000</v>
      </c>
      <c r="H1283" s="514">
        <v>5000</v>
      </c>
      <c r="I1283" s="514">
        <v>5000</v>
      </c>
      <c r="J1283" s="514">
        <v>5000</v>
      </c>
      <c r="K1283" s="514">
        <v>5000</v>
      </c>
      <c r="L1283" s="514">
        <v>5000</v>
      </c>
      <c r="M1283" s="514">
        <v>5000</v>
      </c>
      <c r="N1283" s="514">
        <v>5000</v>
      </c>
      <c r="O1283" s="514">
        <v>5000</v>
      </c>
      <c r="P1283" s="514">
        <v>5000</v>
      </c>
      <c r="Q1283" s="514">
        <v>5000</v>
      </c>
      <c r="R1283" s="514">
        <v>5000</v>
      </c>
      <c r="S1283" s="252">
        <f t="shared" si="64"/>
        <v>60000</v>
      </c>
      <c r="T1283" s="257">
        <f>SUM(60000-S1283)</f>
        <v>0</v>
      </c>
      <c r="AM1283" s="259"/>
    </row>
    <row r="1284" spans="1:39" s="258" customFormat="1" ht="52.5" customHeight="1" x14ac:dyDescent="0.75">
      <c r="A1284" s="462"/>
      <c r="C1284" s="125"/>
      <c r="D1284" s="126"/>
      <c r="E1284" s="513">
        <v>2018</v>
      </c>
      <c r="F1284" s="251">
        <v>5000</v>
      </c>
      <c r="G1284" s="514">
        <v>5000</v>
      </c>
      <c r="H1284" s="514">
        <v>5000</v>
      </c>
      <c r="I1284" s="514">
        <v>5000</v>
      </c>
      <c r="J1284" s="514">
        <v>5000</v>
      </c>
      <c r="K1284" s="514">
        <v>5000</v>
      </c>
      <c r="L1284" s="514">
        <v>5000</v>
      </c>
      <c r="M1284" s="514">
        <v>5000</v>
      </c>
      <c r="N1284" s="514">
        <v>5000</v>
      </c>
      <c r="O1284" s="514">
        <v>5000</v>
      </c>
      <c r="P1284" s="514">
        <v>5000</v>
      </c>
      <c r="Q1284" s="514">
        <v>5000</v>
      </c>
      <c r="R1284" s="514">
        <v>5000</v>
      </c>
      <c r="S1284" s="252">
        <f t="shared" si="64"/>
        <v>60000</v>
      </c>
      <c r="T1284" s="257">
        <f>SUM(60000-S1284)</f>
        <v>0</v>
      </c>
      <c r="AM1284" s="259"/>
    </row>
    <row r="1285" spans="1:39" s="258" customFormat="1" ht="52.5" customHeight="1" thickBot="1" x14ac:dyDescent="0.5">
      <c r="A1285" s="486"/>
      <c r="B1285" s="388"/>
      <c r="C1285" s="487"/>
      <c r="D1285" s="488"/>
      <c r="E1285" s="385"/>
      <c r="F1285" s="265"/>
      <c r="G1285" s="489"/>
      <c r="H1285" s="489"/>
      <c r="I1285" s="489"/>
      <c r="J1285" s="489"/>
      <c r="K1285" s="489"/>
      <c r="L1285" s="489"/>
      <c r="M1285" s="489"/>
      <c r="N1285" s="489"/>
      <c r="O1285" s="489"/>
      <c r="P1285" s="489"/>
      <c r="Q1285" s="489"/>
      <c r="R1285" s="489"/>
      <c r="S1285" s="178">
        <f>SUM(S1277:S1284)</f>
        <v>540000</v>
      </c>
      <c r="T1285" s="87">
        <f>SUM(T1277:T1284)</f>
        <v>0</v>
      </c>
      <c r="AM1285" s="259"/>
    </row>
    <row r="1286" spans="1:39" s="258" customFormat="1" ht="52.5" customHeight="1" x14ac:dyDescent="0.45">
      <c r="A1286" s="486"/>
      <c r="B1286" s="388"/>
      <c r="C1286" s="487"/>
      <c r="D1286" s="488"/>
      <c r="F1286" s="253"/>
      <c r="G1286" s="512"/>
      <c r="H1286" s="512"/>
      <c r="I1286" s="512"/>
      <c r="J1286" s="512"/>
      <c r="K1286" s="512"/>
      <c r="L1286" s="512"/>
      <c r="M1286" s="512"/>
      <c r="N1286" s="512"/>
      <c r="O1286" s="512"/>
      <c r="P1286" s="512"/>
      <c r="Q1286" s="512"/>
      <c r="R1286" s="512"/>
      <c r="S1286" s="269"/>
      <c r="T1286" s="269"/>
      <c r="AM1286" s="259"/>
    </row>
    <row r="1287" spans="1:39" s="258" customFormat="1" ht="52.5" customHeight="1" x14ac:dyDescent="0.45">
      <c r="A1287" s="486"/>
      <c r="B1287" s="388"/>
      <c r="C1287" s="487"/>
      <c r="D1287" s="488"/>
      <c r="F1287" s="253"/>
      <c r="G1287" s="512"/>
      <c r="H1287" s="512"/>
      <c r="I1287" s="512"/>
      <c r="J1287" s="512"/>
      <c r="K1287" s="512"/>
      <c r="L1287" s="512"/>
      <c r="M1287" s="512"/>
      <c r="N1287" s="512"/>
      <c r="O1287" s="512"/>
      <c r="P1287" s="512"/>
      <c r="Q1287" s="512"/>
      <c r="R1287" s="512"/>
      <c r="S1287" s="269"/>
      <c r="T1287" s="269"/>
      <c r="AM1287" s="259"/>
    </row>
    <row r="1288" spans="1:39" s="258" customFormat="1" ht="52.5" customHeight="1" x14ac:dyDescent="0.45">
      <c r="A1288" s="486"/>
      <c r="B1288" s="388"/>
      <c r="C1288" s="487"/>
      <c r="D1288" s="488"/>
      <c r="F1288" s="253"/>
      <c r="G1288" s="512"/>
      <c r="H1288" s="512"/>
      <c r="I1288" s="512"/>
      <c r="J1288" s="512"/>
      <c r="K1288" s="512"/>
      <c r="L1288" s="512"/>
      <c r="M1288" s="512"/>
      <c r="N1288" s="512"/>
      <c r="O1288" s="512"/>
      <c r="P1288" s="512"/>
      <c r="Q1288" s="512"/>
      <c r="R1288" s="512"/>
      <c r="S1288" s="269"/>
      <c r="T1288" s="269"/>
      <c r="AM1288" s="259"/>
    </row>
    <row r="1289" spans="1:39" s="374" customFormat="1" ht="52.5" customHeight="1" x14ac:dyDescent="0.4">
      <c r="A1289" s="368" t="s">
        <v>6</v>
      </c>
      <c r="B1289" s="368" t="s">
        <v>7</v>
      </c>
      <c r="C1289" s="369" t="s">
        <v>8</v>
      </c>
      <c r="D1289" s="370" t="s">
        <v>231</v>
      </c>
      <c r="E1289" s="371" t="s">
        <v>10</v>
      </c>
      <c r="F1289" s="372" t="s">
        <v>11</v>
      </c>
      <c r="G1289" s="476" t="s">
        <v>12</v>
      </c>
      <c r="H1289" s="476" t="s">
        <v>13</v>
      </c>
      <c r="I1289" s="476" t="s">
        <v>14</v>
      </c>
      <c r="J1289" s="476" t="s">
        <v>15</v>
      </c>
      <c r="K1289" s="476" t="s">
        <v>16</v>
      </c>
      <c r="L1289" s="476" t="s">
        <v>17</v>
      </c>
      <c r="M1289" s="476" t="s">
        <v>18</v>
      </c>
      <c r="N1289" s="476" t="s">
        <v>19</v>
      </c>
      <c r="O1289" s="476" t="s">
        <v>20</v>
      </c>
      <c r="P1289" s="476" t="s">
        <v>21</v>
      </c>
      <c r="Q1289" s="476" t="s">
        <v>22</v>
      </c>
      <c r="R1289" s="476" t="s">
        <v>23</v>
      </c>
      <c r="S1289" s="20" t="s">
        <v>24</v>
      </c>
      <c r="T1289" s="20" t="s">
        <v>25</v>
      </c>
      <c r="AM1289" s="375"/>
    </row>
    <row r="1290" spans="1:39" ht="51.75" customHeight="1" x14ac:dyDescent="0.25">
      <c r="A1290" s="537" t="s">
        <v>334</v>
      </c>
      <c r="B1290" s="17"/>
      <c r="C1290" s="377" t="s">
        <v>335</v>
      </c>
      <c r="D1290" s="19"/>
      <c r="E1290" s="26">
        <v>2025</v>
      </c>
      <c r="F1290" s="27">
        <v>10000</v>
      </c>
      <c r="G1290" s="22"/>
      <c r="H1290" s="22"/>
      <c r="I1290" s="22"/>
      <c r="J1290" s="22"/>
      <c r="K1290" s="22"/>
      <c r="L1290" s="22"/>
      <c r="M1290" s="22"/>
      <c r="N1290" s="22"/>
      <c r="O1290" s="538">
        <v>120000</v>
      </c>
      <c r="P1290" s="22"/>
      <c r="Q1290" s="22"/>
      <c r="R1290" s="22"/>
      <c r="S1290" s="64">
        <f>SUM(G1290:R1290)</f>
        <v>120000</v>
      </c>
      <c r="T1290" s="29">
        <f>SUM(F1290*3-(S1290))</f>
        <v>-90000</v>
      </c>
    </row>
    <row r="1291" spans="1:39" ht="51.75" customHeight="1" x14ac:dyDescent="0.25">
      <c r="A1291" s="539"/>
      <c r="B1291" s="17"/>
      <c r="C1291" s="380"/>
      <c r="D1291" s="19"/>
      <c r="E1291" s="73"/>
      <c r="F1291" s="74"/>
      <c r="G1291" s="74"/>
      <c r="H1291" s="74"/>
      <c r="I1291" s="74"/>
      <c r="J1291" s="74"/>
      <c r="K1291" s="74"/>
      <c r="L1291" s="74"/>
      <c r="M1291" s="74"/>
      <c r="N1291" s="74"/>
      <c r="O1291" s="74"/>
      <c r="P1291" s="74"/>
      <c r="Q1291" s="74"/>
      <c r="R1291" s="74"/>
      <c r="S1291" s="74"/>
      <c r="T1291" s="75"/>
    </row>
    <row r="1292" spans="1:39" ht="51.75" customHeight="1" x14ac:dyDescent="0.5">
      <c r="A1292" s="539"/>
      <c r="B1292" s="17"/>
      <c r="C1292" s="116" t="s">
        <v>336</v>
      </c>
      <c r="D1292" s="59"/>
      <c r="E1292" s="77"/>
      <c r="F1292" s="78"/>
      <c r="G1292" s="78"/>
      <c r="H1292" s="78"/>
      <c r="I1292" s="78"/>
      <c r="J1292" s="78"/>
      <c r="K1292" s="78"/>
      <c r="L1292" s="78"/>
      <c r="M1292" s="78"/>
      <c r="N1292" s="78"/>
      <c r="O1292" s="78"/>
      <c r="P1292" s="78"/>
      <c r="Q1292" s="78"/>
      <c r="R1292" s="78"/>
      <c r="S1292" s="78"/>
      <c r="T1292" s="79"/>
    </row>
    <row r="1293" spans="1:39" s="220" customFormat="1" ht="48" customHeight="1" x14ac:dyDescent="0.4">
      <c r="A1293" s="539"/>
      <c r="B1293" s="33" t="s">
        <v>28</v>
      </c>
      <c r="C1293" s="80" t="s">
        <v>52</v>
      </c>
      <c r="D1293" s="61"/>
      <c r="E1293" s="77"/>
      <c r="F1293" s="78"/>
      <c r="G1293" s="78"/>
      <c r="H1293" s="78"/>
      <c r="I1293" s="78"/>
      <c r="J1293" s="78"/>
      <c r="K1293" s="78"/>
      <c r="L1293" s="78"/>
      <c r="M1293" s="78"/>
      <c r="N1293" s="78"/>
      <c r="O1293" s="78"/>
      <c r="P1293" s="78"/>
      <c r="Q1293" s="78"/>
      <c r="R1293" s="78"/>
      <c r="S1293" s="78"/>
      <c r="T1293" s="79"/>
      <c r="AM1293" s="250"/>
    </row>
    <row r="1294" spans="1:39" s="258" customFormat="1" ht="52.5" customHeight="1" thickBot="1" x14ac:dyDescent="0.5">
      <c r="A1294" s="486"/>
      <c r="B1294" s="388"/>
      <c r="C1294" s="82"/>
      <c r="D1294" s="488"/>
      <c r="E1294" s="385"/>
      <c r="F1294" s="265"/>
      <c r="G1294" s="489"/>
      <c r="H1294" s="489"/>
      <c r="I1294" s="489"/>
      <c r="J1294" s="489"/>
      <c r="K1294" s="489"/>
      <c r="L1294" s="489"/>
      <c r="M1294" s="489"/>
      <c r="N1294" s="489"/>
      <c r="O1294" s="489"/>
      <c r="P1294" s="489"/>
      <c r="Q1294" s="489"/>
      <c r="R1294" s="489"/>
      <c r="S1294" s="178">
        <f>SUM(S1290:S1293)</f>
        <v>120000</v>
      </c>
      <c r="T1294" s="87">
        <f>SUM(T1290:T1293)</f>
        <v>-90000</v>
      </c>
      <c r="AM1294" s="259"/>
    </row>
    <row r="1295" spans="1:39" s="258" customFormat="1" ht="52.5" customHeight="1" x14ac:dyDescent="0.45">
      <c r="A1295" s="486"/>
      <c r="B1295" s="388"/>
      <c r="C1295" s="487"/>
      <c r="D1295" s="488"/>
      <c r="F1295" s="253"/>
      <c r="G1295" s="512"/>
      <c r="H1295" s="512"/>
      <c r="I1295" s="512"/>
      <c r="J1295" s="512"/>
      <c r="K1295" s="512"/>
      <c r="L1295" s="512"/>
      <c r="M1295" s="512"/>
      <c r="N1295" s="512"/>
      <c r="O1295" s="512"/>
      <c r="P1295" s="512"/>
      <c r="Q1295" s="512"/>
      <c r="R1295" s="512"/>
      <c r="S1295" s="269"/>
      <c r="T1295" s="269"/>
      <c r="AM1295" s="259"/>
    </row>
    <row r="1296" spans="1:39" s="258" customFormat="1" ht="52.5" customHeight="1" x14ac:dyDescent="0.45">
      <c r="A1296" s="486"/>
      <c r="B1296" s="388"/>
      <c r="C1296" s="487"/>
      <c r="D1296" s="488"/>
      <c r="F1296" s="253"/>
      <c r="G1296" s="512"/>
      <c r="H1296" s="512"/>
      <c r="I1296" s="512"/>
      <c r="J1296" s="512"/>
      <c r="K1296" s="512"/>
      <c r="L1296" s="512"/>
      <c r="M1296" s="512"/>
      <c r="N1296" s="512"/>
      <c r="O1296" s="512"/>
      <c r="P1296" s="512"/>
      <c r="Q1296" s="512"/>
      <c r="R1296" s="512"/>
      <c r="S1296" s="269"/>
      <c r="T1296" s="269"/>
      <c r="AM1296" s="259"/>
    </row>
    <row r="1297" spans="1:39" s="374" customFormat="1" ht="52.5" customHeight="1" x14ac:dyDescent="0.4">
      <c r="A1297" s="368" t="s">
        <v>6</v>
      </c>
      <c r="B1297" s="368" t="s">
        <v>7</v>
      </c>
      <c r="C1297" s="369" t="s">
        <v>8</v>
      </c>
      <c r="D1297" s="370" t="s">
        <v>231</v>
      </c>
      <c r="E1297" s="371" t="s">
        <v>10</v>
      </c>
      <c r="F1297" s="372" t="s">
        <v>11</v>
      </c>
      <c r="G1297" s="476" t="s">
        <v>12</v>
      </c>
      <c r="H1297" s="476" t="s">
        <v>13</v>
      </c>
      <c r="I1297" s="476" t="s">
        <v>14</v>
      </c>
      <c r="J1297" s="476" t="s">
        <v>15</v>
      </c>
      <c r="K1297" s="476" t="s">
        <v>16</v>
      </c>
      <c r="L1297" s="476" t="s">
        <v>17</v>
      </c>
      <c r="M1297" s="476" t="s">
        <v>18</v>
      </c>
      <c r="N1297" s="476" t="s">
        <v>19</v>
      </c>
      <c r="O1297" s="476" t="s">
        <v>20</v>
      </c>
      <c r="P1297" s="476" t="s">
        <v>21</v>
      </c>
      <c r="Q1297" s="476" t="s">
        <v>22</v>
      </c>
      <c r="R1297" s="476" t="s">
        <v>23</v>
      </c>
      <c r="S1297" s="20" t="s">
        <v>24</v>
      </c>
      <c r="T1297" s="20" t="s">
        <v>25</v>
      </c>
      <c r="AM1297" s="375"/>
    </row>
    <row r="1298" spans="1:39" ht="51.75" customHeight="1" x14ac:dyDescent="0.25">
      <c r="A1298" s="477" t="s">
        <v>337</v>
      </c>
      <c r="B1298" s="17"/>
      <c r="C1298" s="377" t="s">
        <v>338</v>
      </c>
      <c r="D1298" s="19"/>
      <c r="E1298" s="26">
        <v>2025</v>
      </c>
      <c r="F1298" s="27">
        <v>10000</v>
      </c>
      <c r="G1298" s="22"/>
      <c r="H1298" s="22">
        <v>40000</v>
      </c>
      <c r="I1298" s="22"/>
      <c r="J1298" s="22"/>
      <c r="K1298" s="22">
        <v>40000</v>
      </c>
      <c r="L1298" s="22"/>
      <c r="M1298" s="22"/>
      <c r="N1298" s="22"/>
      <c r="O1298" s="22">
        <v>20000</v>
      </c>
      <c r="P1298" s="22"/>
      <c r="Q1298" s="22"/>
      <c r="R1298" s="22"/>
      <c r="S1298" s="64">
        <f t="shared" ref="S1298:S1304" si="65">SUM(G1298:R1298)</f>
        <v>100000</v>
      </c>
      <c r="T1298" s="29">
        <f>SUM(F1298*IF(E1298=_current_year,_current_month,12)-(S1298))</f>
        <v>20000</v>
      </c>
    </row>
    <row r="1299" spans="1:39" ht="51.75" customHeight="1" x14ac:dyDescent="0.25">
      <c r="A1299" s="479"/>
      <c r="B1299" s="17"/>
      <c r="C1299" s="379"/>
      <c r="D1299" s="19"/>
      <c r="E1299" s="30">
        <v>2024</v>
      </c>
      <c r="F1299" s="27">
        <v>5000</v>
      </c>
      <c r="G1299" s="22"/>
      <c r="H1299" s="22"/>
      <c r="I1299" s="22"/>
      <c r="J1299" s="22">
        <v>70000</v>
      </c>
      <c r="K1299" s="22"/>
      <c r="L1299" s="22"/>
      <c r="M1299" s="22"/>
      <c r="N1299" s="22"/>
      <c r="O1299" s="22"/>
      <c r="P1299" s="22"/>
      <c r="Q1299" s="22"/>
      <c r="R1299" s="22">
        <v>40000</v>
      </c>
      <c r="S1299" s="37">
        <f t="shared" si="65"/>
        <v>110000</v>
      </c>
      <c r="T1299" s="22">
        <f>SUM(F1299*IF(E1299=_current_year,_current_month,12)-(S1299))</f>
        <v>-50000</v>
      </c>
    </row>
    <row r="1300" spans="1:39" ht="51.75" customHeight="1" x14ac:dyDescent="0.25">
      <c r="A1300" s="479"/>
      <c r="B1300" s="17"/>
      <c r="C1300" s="380"/>
      <c r="D1300" s="19"/>
      <c r="E1300" s="30">
        <v>2023</v>
      </c>
      <c r="F1300" s="27">
        <v>5000</v>
      </c>
      <c r="G1300" s="22"/>
      <c r="H1300" s="22"/>
      <c r="I1300" s="22"/>
      <c r="J1300" s="22">
        <v>30000</v>
      </c>
      <c r="K1300" s="22"/>
      <c r="L1300" s="22"/>
      <c r="M1300" s="22">
        <v>30000</v>
      </c>
      <c r="N1300" s="22"/>
      <c r="O1300" s="22"/>
      <c r="P1300" s="22"/>
      <c r="Q1300" s="22"/>
      <c r="R1300" s="22"/>
      <c r="S1300" s="37">
        <f t="shared" si="65"/>
        <v>60000</v>
      </c>
      <c r="T1300" s="22">
        <f>SUM(F1300*IF(E1300=_current_year,_current_month,12)-(S1300))</f>
        <v>0</v>
      </c>
    </row>
    <row r="1301" spans="1:39" s="220" customFormat="1" ht="48" customHeight="1" x14ac:dyDescent="0.4">
      <c r="A1301" s="479"/>
      <c r="B1301" s="33" t="s">
        <v>28</v>
      </c>
      <c r="C1301" s="85" t="s">
        <v>339</v>
      </c>
      <c r="D1301" s="35"/>
      <c r="E1301" s="30">
        <v>2022</v>
      </c>
      <c r="F1301" s="251">
        <v>5000</v>
      </c>
      <c r="G1301" s="36"/>
      <c r="H1301" s="36"/>
      <c r="I1301" s="36">
        <v>15000</v>
      </c>
      <c r="J1301" s="36"/>
      <c r="K1301" s="36"/>
      <c r="L1301" s="36">
        <v>30000</v>
      </c>
      <c r="M1301" s="36"/>
      <c r="N1301" s="36"/>
      <c r="O1301" s="36"/>
      <c r="P1301" s="36"/>
      <c r="Q1301" s="36"/>
      <c r="R1301" s="36"/>
      <c r="S1301" s="37">
        <f t="shared" si="65"/>
        <v>45000</v>
      </c>
      <c r="T1301" s="37">
        <f>SUM(60000-S1301)</f>
        <v>15000</v>
      </c>
      <c r="AM1301" s="250"/>
    </row>
    <row r="1302" spans="1:39" s="220" customFormat="1" ht="52.5" customHeight="1" x14ac:dyDescent="0.4">
      <c r="A1302" s="313" t="s">
        <v>311</v>
      </c>
      <c r="B1302" s="33" t="s">
        <v>28</v>
      </c>
      <c r="C1302" s="38" t="s">
        <v>52</v>
      </c>
      <c r="D1302" s="124"/>
      <c r="E1302" s="30">
        <v>2021</v>
      </c>
      <c r="F1302" s="251">
        <v>5000</v>
      </c>
      <c r="G1302" s="482"/>
      <c r="H1302" s="482"/>
      <c r="I1302" s="482">
        <v>60000</v>
      </c>
      <c r="J1302" s="482"/>
      <c r="K1302" s="482"/>
      <c r="L1302" s="482"/>
      <c r="M1302" s="482"/>
      <c r="N1302" s="482"/>
      <c r="O1302" s="482"/>
      <c r="P1302" s="482"/>
      <c r="Q1302" s="482"/>
      <c r="R1302" s="482"/>
      <c r="S1302" s="252">
        <f t="shared" si="65"/>
        <v>60000</v>
      </c>
      <c r="T1302" s="252">
        <f>SUM(60000-S1302)</f>
        <v>0</v>
      </c>
      <c r="AM1302" s="250"/>
    </row>
    <row r="1303" spans="1:39" s="258" customFormat="1" ht="52.5" customHeight="1" x14ac:dyDescent="0.45">
      <c r="A1303" s="313"/>
      <c r="B1303" s="381" t="s">
        <v>28</v>
      </c>
      <c r="C1303" s="125"/>
      <c r="D1303" s="126"/>
      <c r="E1303" s="513">
        <v>2020</v>
      </c>
      <c r="F1303" s="251">
        <v>5000</v>
      </c>
      <c r="G1303" s="540"/>
      <c r="H1303" s="540"/>
      <c r="I1303" s="540"/>
      <c r="J1303" s="540"/>
      <c r="K1303" s="540">
        <v>5000</v>
      </c>
      <c r="L1303" s="540"/>
      <c r="M1303" s="540"/>
      <c r="N1303" s="540"/>
      <c r="O1303" s="540"/>
      <c r="P1303" s="540"/>
      <c r="Q1303" s="540"/>
      <c r="R1303" s="540"/>
      <c r="S1303" s="252">
        <f t="shared" si="65"/>
        <v>5000</v>
      </c>
      <c r="T1303" s="257">
        <f>SUM(60000-S1303)</f>
        <v>55000</v>
      </c>
      <c r="AM1303" s="259"/>
    </row>
    <row r="1304" spans="1:39" s="258" customFormat="1" ht="52.5" customHeight="1" x14ac:dyDescent="0.45">
      <c r="A1304" s="515"/>
      <c r="C1304" s="125"/>
      <c r="D1304" s="126"/>
      <c r="E1304" s="541">
        <v>2019</v>
      </c>
      <c r="F1304" s="251">
        <v>5000</v>
      </c>
      <c r="G1304" s="535"/>
      <c r="H1304" s="535"/>
      <c r="I1304" s="535"/>
      <c r="J1304" s="542">
        <v>10000</v>
      </c>
      <c r="K1304" s="542"/>
      <c r="L1304" s="516">
        <v>60000</v>
      </c>
      <c r="M1304" s="516"/>
      <c r="N1304" s="516">
        <v>10000</v>
      </c>
      <c r="O1304" s="516"/>
      <c r="P1304" s="516"/>
      <c r="Q1304" s="516"/>
      <c r="R1304" s="516"/>
      <c r="S1304" s="252">
        <f t="shared" si="65"/>
        <v>80000</v>
      </c>
      <c r="T1304" s="257">
        <f>SUM(60000-S1304)</f>
        <v>-20000</v>
      </c>
      <c r="AM1304" s="259"/>
    </row>
    <row r="1305" spans="1:39" s="258" customFormat="1" ht="52.5" customHeight="1" thickBot="1" x14ac:dyDescent="0.5">
      <c r="A1305" s="486"/>
      <c r="B1305" s="388"/>
      <c r="C1305" s="487"/>
      <c r="D1305" s="488"/>
      <c r="E1305" s="385"/>
      <c r="F1305" s="265"/>
      <c r="G1305" s="489"/>
      <c r="H1305" s="489"/>
      <c r="I1305" s="489"/>
      <c r="J1305" s="489"/>
      <c r="K1305" s="489"/>
      <c r="L1305" s="489"/>
      <c r="M1305" s="489"/>
      <c r="N1305" s="489"/>
      <c r="O1305" s="489"/>
      <c r="P1305" s="489"/>
      <c r="Q1305" s="489"/>
      <c r="R1305" s="489"/>
      <c r="S1305" s="178">
        <f>SUM(S1298:S1304)</f>
        <v>460000</v>
      </c>
      <c r="T1305" s="87">
        <f>SUM(T1298:T1304)</f>
        <v>20000</v>
      </c>
      <c r="AM1305" s="259"/>
    </row>
    <row r="1306" spans="1:39" s="258" customFormat="1" ht="52.5" customHeight="1" x14ac:dyDescent="0.45">
      <c r="A1306" s="486"/>
      <c r="B1306" s="388"/>
      <c r="C1306" s="487"/>
      <c r="D1306" s="488"/>
      <c r="E1306" s="388"/>
      <c r="F1306" s="234"/>
      <c r="G1306" s="389"/>
      <c r="H1306" s="389"/>
      <c r="I1306" s="389"/>
      <c r="J1306" s="389"/>
      <c r="K1306" s="389"/>
      <c r="L1306" s="389"/>
      <c r="M1306" s="389"/>
      <c r="N1306" s="389"/>
      <c r="O1306" s="389"/>
      <c r="P1306" s="389"/>
      <c r="Q1306" s="389"/>
      <c r="R1306" s="389"/>
      <c r="S1306" s="344"/>
      <c r="T1306" s="344"/>
      <c r="AM1306" s="259"/>
    </row>
    <row r="1307" spans="1:39" s="374" customFormat="1" ht="52.5" customHeight="1" x14ac:dyDescent="0.4">
      <c r="A1307" s="368" t="s">
        <v>6</v>
      </c>
      <c r="B1307" s="368" t="s">
        <v>7</v>
      </c>
      <c r="C1307" s="369" t="s">
        <v>8</v>
      </c>
      <c r="D1307" s="370" t="s">
        <v>231</v>
      </c>
      <c r="E1307" s="371" t="s">
        <v>10</v>
      </c>
      <c r="F1307" s="372" t="s">
        <v>11</v>
      </c>
      <c r="G1307" s="476" t="s">
        <v>12</v>
      </c>
      <c r="H1307" s="476" t="s">
        <v>13</v>
      </c>
      <c r="I1307" s="476" t="s">
        <v>14</v>
      </c>
      <c r="J1307" s="476" t="s">
        <v>15</v>
      </c>
      <c r="K1307" s="476" t="s">
        <v>16</v>
      </c>
      <c r="L1307" s="476" t="s">
        <v>17</v>
      </c>
      <c r="M1307" s="476" t="s">
        <v>18</v>
      </c>
      <c r="N1307" s="476" t="s">
        <v>19</v>
      </c>
      <c r="O1307" s="476" t="s">
        <v>20</v>
      </c>
      <c r="P1307" s="476" t="s">
        <v>21</v>
      </c>
      <c r="Q1307" s="476" t="s">
        <v>22</v>
      </c>
      <c r="R1307" s="476" t="s">
        <v>23</v>
      </c>
      <c r="S1307" s="20" t="s">
        <v>24</v>
      </c>
      <c r="T1307" s="20" t="s">
        <v>25</v>
      </c>
      <c r="AM1307" s="375"/>
    </row>
    <row r="1308" spans="1:39" ht="51.75" customHeight="1" x14ac:dyDescent="0.25">
      <c r="A1308" s="533">
        <v>6</v>
      </c>
      <c r="B1308" s="17"/>
      <c r="C1308" s="377" t="s">
        <v>340</v>
      </c>
      <c r="D1308" s="19"/>
      <c r="E1308" s="26">
        <v>2025</v>
      </c>
      <c r="F1308" s="27">
        <v>10000</v>
      </c>
      <c r="G1308" s="22"/>
      <c r="H1308" s="22">
        <v>120000</v>
      </c>
      <c r="I1308" s="22"/>
      <c r="J1308" s="22"/>
      <c r="K1308" s="22"/>
      <c r="L1308" s="22"/>
      <c r="M1308" s="22"/>
      <c r="N1308" s="22"/>
      <c r="O1308" s="22"/>
      <c r="P1308" s="22"/>
      <c r="Q1308" s="22"/>
      <c r="R1308" s="22"/>
      <c r="S1308" s="64">
        <f t="shared" ref="S1308:S1318" si="66">SUM(G1308:R1308)</f>
        <v>120000</v>
      </c>
      <c r="T1308" s="29">
        <f>SUM(F1308*IF(E1308=_current_year,_current_month,12)-(S1308))</f>
        <v>0</v>
      </c>
    </row>
    <row r="1309" spans="1:39" ht="51.75" customHeight="1" x14ac:dyDescent="0.6">
      <c r="A1309" s="534"/>
      <c r="B1309" s="17"/>
      <c r="C1309" s="379"/>
      <c r="D1309" s="19"/>
      <c r="E1309" s="30">
        <v>2024</v>
      </c>
      <c r="F1309" s="27">
        <v>5000</v>
      </c>
      <c r="G1309" s="22">
        <v>60000</v>
      </c>
      <c r="H1309" s="189"/>
      <c r="I1309" s="22">
        <v>120000</v>
      </c>
      <c r="J1309" s="22"/>
      <c r="K1309" s="22"/>
      <c r="L1309" s="22"/>
      <c r="M1309" s="22"/>
      <c r="N1309" s="22"/>
      <c r="O1309" s="22"/>
      <c r="P1309" s="22"/>
      <c r="Q1309" s="22"/>
      <c r="R1309" s="22"/>
      <c r="S1309" s="37">
        <f t="shared" si="66"/>
        <v>180000</v>
      </c>
      <c r="T1309" s="22">
        <f>SUM(F1309*IF(E1309=_current_year,_current_month,12)-(S1309))</f>
        <v>-120000</v>
      </c>
    </row>
    <row r="1310" spans="1:39" ht="51.75" customHeight="1" x14ac:dyDescent="0.25">
      <c r="A1310" s="534"/>
      <c r="B1310" s="17"/>
      <c r="C1310" s="379"/>
      <c r="D1310" s="19"/>
      <c r="E1310" s="30">
        <v>2023</v>
      </c>
      <c r="F1310" s="27">
        <v>5000</v>
      </c>
      <c r="G1310" s="22"/>
      <c r="H1310" s="22">
        <v>60000</v>
      </c>
      <c r="I1310" s="22"/>
      <c r="J1310" s="22"/>
      <c r="K1310" s="22"/>
      <c r="L1310" s="22"/>
      <c r="M1310" s="22"/>
      <c r="N1310" s="22"/>
      <c r="O1310" s="22"/>
      <c r="P1310" s="22"/>
      <c r="Q1310" s="22"/>
      <c r="R1310" s="22"/>
      <c r="S1310" s="37">
        <f t="shared" si="66"/>
        <v>60000</v>
      </c>
      <c r="T1310" s="22">
        <f>SUM(F1310*12)-(S1310)</f>
        <v>0</v>
      </c>
    </row>
    <row r="1311" spans="1:39" s="220" customFormat="1" ht="48" customHeight="1" x14ac:dyDescent="0.4">
      <c r="A1311" s="534"/>
      <c r="B1311" s="33" t="s">
        <v>28</v>
      </c>
      <c r="C1311" s="380"/>
      <c r="D1311" s="35"/>
      <c r="E1311" s="30">
        <v>2022</v>
      </c>
      <c r="F1311" s="251">
        <v>5000</v>
      </c>
      <c r="G1311" s="36"/>
      <c r="H1311" s="36"/>
      <c r="I1311" s="36"/>
      <c r="J1311" s="36">
        <v>60000</v>
      </c>
      <c r="K1311" s="36"/>
      <c r="L1311" s="36"/>
      <c r="M1311" s="36"/>
      <c r="N1311" s="36"/>
      <c r="O1311" s="36"/>
      <c r="P1311" s="36"/>
      <c r="Q1311" s="36"/>
      <c r="R1311" s="36"/>
      <c r="S1311" s="37">
        <f t="shared" si="66"/>
        <v>60000</v>
      </c>
      <c r="T1311" s="257">
        <f t="shared" ref="T1311:T1318" si="67">SUM(60000-S1311)</f>
        <v>0</v>
      </c>
      <c r="AM1311" s="250"/>
    </row>
    <row r="1312" spans="1:39" s="220" customFormat="1" ht="52.5" customHeight="1" x14ac:dyDescent="0.4">
      <c r="A1312" s="313" t="s">
        <v>311</v>
      </c>
      <c r="B1312" s="33" t="s">
        <v>28</v>
      </c>
      <c r="C1312" s="38" t="s">
        <v>52</v>
      </c>
      <c r="D1312" s="124"/>
      <c r="E1312" s="30">
        <v>2021</v>
      </c>
      <c r="F1312" s="251">
        <v>5000</v>
      </c>
      <c r="G1312" s="482"/>
      <c r="H1312" s="482"/>
      <c r="I1312" s="482"/>
      <c r="J1312" s="482"/>
      <c r="K1312" s="482">
        <f>125000+25000</f>
        <v>150000</v>
      </c>
      <c r="L1312" s="482"/>
      <c r="M1312" s="516"/>
      <c r="N1312" s="482"/>
      <c r="O1312" s="482"/>
      <c r="P1312" s="482"/>
      <c r="Q1312" s="482"/>
      <c r="R1312" s="482"/>
      <c r="S1312" s="252">
        <f t="shared" si="66"/>
        <v>150000</v>
      </c>
      <c r="T1312" s="252">
        <f t="shared" si="67"/>
        <v>-90000</v>
      </c>
      <c r="AM1312" s="250"/>
    </row>
    <row r="1313" spans="1:39" s="258" customFormat="1" ht="52.5" customHeight="1" x14ac:dyDescent="0.45">
      <c r="A1313" s="313"/>
      <c r="B1313" s="381" t="s">
        <v>28</v>
      </c>
      <c r="C1313" s="125"/>
      <c r="D1313" s="126"/>
      <c r="E1313" s="513">
        <v>2020</v>
      </c>
      <c r="F1313" s="251">
        <v>5000</v>
      </c>
      <c r="G1313" s="516"/>
      <c r="H1313" s="516"/>
      <c r="I1313" s="516"/>
      <c r="J1313" s="516"/>
      <c r="K1313" s="516"/>
      <c r="L1313" s="516"/>
      <c r="M1313" s="516"/>
      <c r="N1313" s="516"/>
      <c r="O1313" s="516"/>
      <c r="P1313" s="516"/>
      <c r="Q1313" s="516"/>
      <c r="R1313" s="516"/>
      <c r="S1313" s="252">
        <f t="shared" si="66"/>
        <v>0</v>
      </c>
      <c r="T1313" s="257">
        <f t="shared" si="67"/>
        <v>60000</v>
      </c>
      <c r="AM1313" s="259"/>
    </row>
    <row r="1314" spans="1:39" s="258" customFormat="1" ht="52.5" customHeight="1" x14ac:dyDescent="0.45">
      <c r="A1314" s="536"/>
      <c r="B1314" s="388"/>
      <c r="C1314" s="125"/>
      <c r="D1314" s="126"/>
      <c r="E1314" s="513">
        <v>2019</v>
      </c>
      <c r="F1314" s="251">
        <v>5000</v>
      </c>
      <c r="G1314" s="516"/>
      <c r="H1314" s="516"/>
      <c r="I1314" s="516"/>
      <c r="J1314" s="516"/>
      <c r="K1314" s="516"/>
      <c r="L1314" s="516"/>
      <c r="M1314" s="516"/>
      <c r="N1314" s="516"/>
      <c r="O1314" s="516"/>
      <c r="P1314" s="516"/>
      <c r="Q1314" s="516"/>
      <c r="R1314" s="516"/>
      <c r="S1314" s="252">
        <f t="shared" si="66"/>
        <v>0</v>
      </c>
      <c r="T1314" s="257">
        <f t="shared" si="67"/>
        <v>60000</v>
      </c>
      <c r="AM1314" s="259"/>
    </row>
    <row r="1315" spans="1:39" s="258" customFormat="1" ht="52.5" customHeight="1" x14ac:dyDescent="0.45">
      <c r="A1315" s="543"/>
      <c r="B1315" s="388"/>
      <c r="C1315" s="125"/>
      <c r="D1315" s="126"/>
      <c r="E1315" s="513">
        <v>2018</v>
      </c>
      <c r="F1315" s="251">
        <v>5000</v>
      </c>
      <c r="G1315" s="514">
        <v>5000</v>
      </c>
      <c r="H1315" s="514">
        <v>5000</v>
      </c>
      <c r="I1315" s="514">
        <v>5000</v>
      </c>
      <c r="J1315" s="514">
        <v>5000</v>
      </c>
      <c r="K1315" s="514">
        <v>5000</v>
      </c>
      <c r="L1315" s="514">
        <v>5000</v>
      </c>
      <c r="M1315" s="516"/>
      <c r="N1315" s="516"/>
      <c r="O1315" s="516"/>
      <c r="P1315" s="516"/>
      <c r="Q1315" s="516"/>
      <c r="R1315" s="516"/>
      <c r="S1315" s="252">
        <f t="shared" si="66"/>
        <v>30000</v>
      </c>
      <c r="T1315" s="257">
        <f t="shared" si="67"/>
        <v>30000</v>
      </c>
      <c r="AM1315" s="259"/>
    </row>
    <row r="1316" spans="1:39" s="258" customFormat="1" ht="52.5" customHeight="1" x14ac:dyDescent="0.45">
      <c r="A1316" s="543"/>
      <c r="B1316" s="388"/>
      <c r="C1316" s="125"/>
      <c r="D1316" s="126"/>
      <c r="E1316" s="513">
        <v>2017</v>
      </c>
      <c r="F1316" s="251">
        <v>5000</v>
      </c>
      <c r="G1316" s="514">
        <v>5000</v>
      </c>
      <c r="H1316" s="514">
        <v>5000</v>
      </c>
      <c r="I1316" s="514">
        <v>5000</v>
      </c>
      <c r="J1316" s="514">
        <v>5000</v>
      </c>
      <c r="K1316" s="514">
        <v>5000</v>
      </c>
      <c r="L1316" s="514">
        <v>5000</v>
      </c>
      <c r="M1316" s="514">
        <v>5000</v>
      </c>
      <c r="N1316" s="514">
        <v>5000</v>
      </c>
      <c r="O1316" s="514">
        <v>5000</v>
      </c>
      <c r="P1316" s="514">
        <v>5000</v>
      </c>
      <c r="Q1316" s="514">
        <v>5000</v>
      </c>
      <c r="R1316" s="514">
        <v>5000</v>
      </c>
      <c r="S1316" s="252">
        <f t="shared" si="66"/>
        <v>60000</v>
      </c>
      <c r="T1316" s="257">
        <f t="shared" si="67"/>
        <v>0</v>
      </c>
      <c r="AM1316" s="259"/>
    </row>
    <row r="1317" spans="1:39" s="258" customFormat="1" ht="52.5" customHeight="1" x14ac:dyDescent="0.45">
      <c r="A1317" s="543"/>
      <c r="B1317" s="388"/>
      <c r="C1317" s="125"/>
      <c r="D1317" s="126"/>
      <c r="E1317" s="513">
        <v>2016</v>
      </c>
      <c r="F1317" s="251">
        <v>5000</v>
      </c>
      <c r="G1317" s="514">
        <v>5000</v>
      </c>
      <c r="H1317" s="514">
        <v>5000</v>
      </c>
      <c r="I1317" s="514">
        <v>5000</v>
      </c>
      <c r="J1317" s="514">
        <v>5000</v>
      </c>
      <c r="K1317" s="514">
        <v>5000</v>
      </c>
      <c r="L1317" s="514">
        <v>5000</v>
      </c>
      <c r="M1317" s="514">
        <v>5000</v>
      </c>
      <c r="N1317" s="514">
        <v>5000</v>
      </c>
      <c r="O1317" s="514">
        <v>5000</v>
      </c>
      <c r="P1317" s="514">
        <v>5000</v>
      </c>
      <c r="Q1317" s="514">
        <v>5000</v>
      </c>
      <c r="R1317" s="514">
        <v>5000</v>
      </c>
      <c r="S1317" s="252">
        <f t="shared" si="66"/>
        <v>60000</v>
      </c>
      <c r="T1317" s="257">
        <f t="shared" si="67"/>
        <v>0</v>
      </c>
      <c r="AM1317" s="259"/>
    </row>
    <row r="1318" spans="1:39" s="258" customFormat="1" ht="52.5" customHeight="1" x14ac:dyDescent="0.45">
      <c r="A1318" s="544"/>
      <c r="B1318" s="388"/>
      <c r="C1318" s="129"/>
      <c r="D1318" s="130"/>
      <c r="E1318" s="513">
        <v>2015</v>
      </c>
      <c r="F1318" s="251">
        <v>5000</v>
      </c>
      <c r="G1318" s="514"/>
      <c r="H1318" s="514"/>
      <c r="I1318" s="514"/>
      <c r="J1318" s="514"/>
      <c r="K1318" s="514"/>
      <c r="L1318" s="514"/>
      <c r="M1318" s="514"/>
      <c r="N1318" s="514"/>
      <c r="O1318" s="514"/>
      <c r="P1318" s="514"/>
      <c r="Q1318" s="514"/>
      <c r="R1318" s="514"/>
      <c r="S1318" s="252">
        <f t="shared" si="66"/>
        <v>0</v>
      </c>
      <c r="T1318" s="257">
        <f t="shared" si="67"/>
        <v>60000</v>
      </c>
      <c r="AM1318" s="259"/>
    </row>
    <row r="1319" spans="1:39" s="258" customFormat="1" ht="52.5" customHeight="1" thickBot="1" x14ac:dyDescent="0.5">
      <c r="A1319" s="489"/>
      <c r="B1319" s="545"/>
      <c r="C1319" s="489"/>
      <c r="D1319" s="489"/>
      <c r="E1319" s="489"/>
      <c r="F1319" s="489"/>
      <c r="G1319" s="489"/>
      <c r="H1319" s="489"/>
      <c r="I1319" s="489"/>
      <c r="J1319" s="489"/>
      <c r="K1319" s="489"/>
      <c r="L1319" s="489"/>
      <c r="M1319" s="489"/>
      <c r="N1319" s="489"/>
      <c r="O1319" s="489"/>
      <c r="P1319" s="489"/>
      <c r="Q1319" s="489"/>
      <c r="R1319" s="489"/>
      <c r="S1319" s="178">
        <f>SUM(S1308:S1318)</f>
        <v>720000</v>
      </c>
      <c r="T1319" s="87">
        <f>SUM(T1308:T1318)</f>
        <v>0</v>
      </c>
      <c r="AM1319" s="259"/>
    </row>
    <row r="1320" spans="1:39" s="258" customFormat="1" ht="52.5" customHeight="1" x14ac:dyDescent="0.45">
      <c r="A1320" s="486"/>
      <c r="B1320" s="388"/>
      <c r="C1320" s="487"/>
      <c r="D1320" s="488"/>
      <c r="F1320" s="253"/>
      <c r="G1320" s="512"/>
      <c r="H1320" s="512"/>
      <c r="I1320" s="512"/>
      <c r="J1320" s="512"/>
      <c r="K1320" s="512"/>
      <c r="L1320" s="512"/>
      <c r="M1320" s="512"/>
      <c r="N1320" s="512"/>
      <c r="O1320" s="512"/>
      <c r="P1320" s="512"/>
      <c r="Q1320" s="512"/>
      <c r="R1320" s="512"/>
      <c r="S1320" s="269"/>
      <c r="T1320" s="269"/>
      <c r="AM1320" s="259"/>
    </row>
    <row r="1321" spans="1:39" s="374" customFormat="1" ht="52.5" customHeight="1" x14ac:dyDescent="0.4">
      <c r="A1321" s="368" t="s">
        <v>6</v>
      </c>
      <c r="B1321" s="368" t="s">
        <v>7</v>
      </c>
      <c r="C1321" s="369" t="s">
        <v>8</v>
      </c>
      <c r="D1321" s="370" t="s">
        <v>231</v>
      </c>
      <c r="E1321" s="371" t="s">
        <v>10</v>
      </c>
      <c r="F1321" s="372" t="s">
        <v>11</v>
      </c>
      <c r="G1321" s="476" t="s">
        <v>12</v>
      </c>
      <c r="H1321" s="476" t="s">
        <v>13</v>
      </c>
      <c r="I1321" s="476" t="s">
        <v>14</v>
      </c>
      <c r="J1321" s="476" t="s">
        <v>15</v>
      </c>
      <c r="K1321" s="476" t="s">
        <v>16</v>
      </c>
      <c r="L1321" s="476" t="s">
        <v>17</v>
      </c>
      <c r="M1321" s="476" t="s">
        <v>18</v>
      </c>
      <c r="N1321" s="476" t="s">
        <v>19</v>
      </c>
      <c r="O1321" s="476" t="s">
        <v>20</v>
      </c>
      <c r="P1321" s="476" t="s">
        <v>21</v>
      </c>
      <c r="Q1321" s="476" t="s">
        <v>22</v>
      </c>
      <c r="R1321" s="476" t="s">
        <v>23</v>
      </c>
      <c r="S1321" s="20" t="s">
        <v>24</v>
      </c>
      <c r="T1321" s="20" t="s">
        <v>25</v>
      </c>
      <c r="AM1321" s="375"/>
    </row>
    <row r="1322" spans="1:39" s="374" customFormat="1" ht="52.5" customHeight="1" x14ac:dyDescent="0.4">
      <c r="A1322" s="546" t="s">
        <v>341</v>
      </c>
      <c r="B1322" s="368"/>
      <c r="C1322" s="377" t="s">
        <v>342</v>
      </c>
      <c r="D1322" s="370"/>
      <c r="E1322" s="26">
        <v>2025</v>
      </c>
      <c r="F1322" s="27">
        <v>10000</v>
      </c>
      <c r="G1322" s="476">
        <v>10000</v>
      </c>
      <c r="H1322" s="476"/>
      <c r="I1322" s="476">
        <v>20000</v>
      </c>
      <c r="J1322" s="476"/>
      <c r="K1322" s="476">
        <v>10000</v>
      </c>
      <c r="L1322" s="476">
        <v>10000</v>
      </c>
      <c r="M1322" s="547">
        <v>15000</v>
      </c>
      <c r="N1322" s="547">
        <v>20000</v>
      </c>
      <c r="O1322" s="547">
        <v>10000</v>
      </c>
      <c r="P1322" s="476"/>
      <c r="Q1322" s="476"/>
      <c r="R1322" s="476"/>
      <c r="S1322" s="64">
        <f t="shared" ref="S1322:S1332" si="68">SUM(G1322:R1322)</f>
        <v>95000</v>
      </c>
      <c r="T1322" s="29">
        <f>SUM(F1322*IF(E1322=_current_year,_current_month,12)-(S1322))</f>
        <v>25000</v>
      </c>
      <c r="AM1322" s="375"/>
    </row>
    <row r="1323" spans="1:39" s="374" customFormat="1" ht="52.5" customHeight="1" x14ac:dyDescent="0.4">
      <c r="A1323" s="548"/>
      <c r="B1323" s="368"/>
      <c r="C1323" s="380"/>
      <c r="D1323" s="370"/>
      <c r="E1323" s="30">
        <v>2024</v>
      </c>
      <c r="F1323" s="27">
        <v>5000</v>
      </c>
      <c r="G1323" s="476">
        <v>10000</v>
      </c>
      <c r="H1323" s="476"/>
      <c r="I1323" s="476">
        <v>5000</v>
      </c>
      <c r="J1323" s="476">
        <v>10000</v>
      </c>
      <c r="K1323" s="476">
        <v>5000</v>
      </c>
      <c r="L1323" s="476"/>
      <c r="M1323" s="476">
        <v>10000</v>
      </c>
      <c r="N1323" s="476"/>
      <c r="O1323" s="476">
        <v>5000</v>
      </c>
      <c r="P1323" s="476">
        <v>5000</v>
      </c>
      <c r="Q1323" s="476"/>
      <c r="R1323" s="476">
        <v>15000</v>
      </c>
      <c r="S1323" s="37">
        <f t="shared" si="68"/>
        <v>65000</v>
      </c>
      <c r="T1323" s="22">
        <f>SUM(F1323*IF(E1323=_current_year,_current_month,12)-(S1323))</f>
        <v>-5000</v>
      </c>
      <c r="AM1323" s="375"/>
    </row>
    <row r="1324" spans="1:39" ht="51.75" customHeight="1" x14ac:dyDescent="0.25">
      <c r="A1324" s="548"/>
      <c r="B1324" s="17"/>
      <c r="C1324" s="38" t="s">
        <v>52</v>
      </c>
      <c r="D1324" s="124"/>
      <c r="E1324" s="30">
        <v>2023</v>
      </c>
      <c r="F1324" s="27">
        <v>5000</v>
      </c>
      <c r="G1324" s="22"/>
      <c r="H1324" s="22">
        <f>10000+80000</f>
        <v>90000</v>
      </c>
      <c r="I1324" s="22"/>
      <c r="J1324" s="22"/>
      <c r="K1324" s="22">
        <v>5000</v>
      </c>
      <c r="L1324" s="22"/>
      <c r="M1324" s="22">
        <v>5000</v>
      </c>
      <c r="N1324" s="22">
        <v>5000</v>
      </c>
      <c r="O1324" s="22">
        <v>5000</v>
      </c>
      <c r="P1324" s="22"/>
      <c r="Q1324" s="22"/>
      <c r="R1324" s="22">
        <v>10000</v>
      </c>
      <c r="S1324" s="252">
        <f t="shared" si="68"/>
        <v>120000</v>
      </c>
      <c r="T1324" s="252">
        <f>SUM(F1324*12)-(S1324)</f>
        <v>-60000</v>
      </c>
    </row>
    <row r="1325" spans="1:39" s="220" customFormat="1" ht="48" customHeight="1" x14ac:dyDescent="0.4">
      <c r="A1325" s="548"/>
      <c r="B1325" s="33" t="s">
        <v>28</v>
      </c>
      <c r="C1325" s="125"/>
      <c r="D1325" s="126"/>
      <c r="E1325" s="30">
        <v>2022</v>
      </c>
      <c r="F1325" s="251">
        <v>5000</v>
      </c>
      <c r="G1325" s="36">
        <v>15000</v>
      </c>
      <c r="H1325" s="36"/>
      <c r="I1325" s="36"/>
      <c r="J1325" s="36">
        <v>5000</v>
      </c>
      <c r="K1325" s="36">
        <v>5000</v>
      </c>
      <c r="L1325" s="36"/>
      <c r="M1325" s="36"/>
      <c r="N1325" s="36">
        <v>5000</v>
      </c>
      <c r="O1325" s="36">
        <v>5000</v>
      </c>
      <c r="P1325" s="36">
        <v>5000</v>
      </c>
      <c r="Q1325" s="36"/>
      <c r="R1325" s="36"/>
      <c r="S1325" s="37">
        <f t="shared" si="68"/>
        <v>40000</v>
      </c>
      <c r="T1325" s="37">
        <f t="shared" ref="T1325:T1332" si="69">SUM(60000-S1325)</f>
        <v>20000</v>
      </c>
      <c r="AM1325" s="250"/>
    </row>
    <row r="1326" spans="1:39" s="220" customFormat="1" ht="52.5" customHeight="1" x14ac:dyDescent="0.4">
      <c r="A1326" s="313" t="s">
        <v>311</v>
      </c>
      <c r="B1326" s="33" t="s">
        <v>28</v>
      </c>
      <c r="C1326" s="125"/>
      <c r="D1326" s="126"/>
      <c r="E1326" s="30">
        <v>2021</v>
      </c>
      <c r="F1326" s="251">
        <v>5000</v>
      </c>
      <c r="G1326" s="482">
        <v>10000</v>
      </c>
      <c r="H1326" s="482"/>
      <c r="I1326" s="482">
        <v>10000</v>
      </c>
      <c r="J1326" s="482"/>
      <c r="K1326" s="482"/>
      <c r="L1326" s="482"/>
      <c r="M1326" s="482">
        <v>10000</v>
      </c>
      <c r="N1326" s="482"/>
      <c r="O1326" s="482"/>
      <c r="P1326" s="514">
        <v>10000</v>
      </c>
      <c r="Q1326" s="482"/>
      <c r="R1326" s="482"/>
      <c r="S1326" s="252">
        <f t="shared" si="68"/>
        <v>40000</v>
      </c>
      <c r="T1326" s="252">
        <f t="shared" si="69"/>
        <v>20000</v>
      </c>
      <c r="AM1326" s="250"/>
    </row>
    <row r="1327" spans="1:39" s="258" customFormat="1" ht="52.5" customHeight="1" x14ac:dyDescent="0.45">
      <c r="A1327" s="313"/>
      <c r="B1327" s="381" t="s">
        <v>28</v>
      </c>
      <c r="C1327" s="125"/>
      <c r="D1327" s="126"/>
      <c r="E1327" s="513">
        <v>2020</v>
      </c>
      <c r="F1327" s="251">
        <v>5000</v>
      </c>
      <c r="G1327" s="549"/>
      <c r="H1327" s="514">
        <v>5000</v>
      </c>
      <c r="I1327" s="514">
        <v>5000</v>
      </c>
      <c r="J1327" s="535"/>
      <c r="K1327" s="535"/>
      <c r="L1327" s="514">
        <v>5000</v>
      </c>
      <c r="M1327" s="550">
        <v>5000</v>
      </c>
      <c r="N1327" s="550">
        <v>5000</v>
      </c>
      <c r="O1327" s="516"/>
      <c r="P1327" s="550">
        <v>5000</v>
      </c>
      <c r="Q1327" s="516"/>
      <c r="R1327" s="516"/>
      <c r="S1327" s="252">
        <f t="shared" si="68"/>
        <v>30000</v>
      </c>
      <c r="T1327" s="257">
        <f t="shared" si="69"/>
        <v>30000</v>
      </c>
      <c r="AM1327" s="259"/>
    </row>
    <row r="1328" spans="1:39" s="258" customFormat="1" ht="52.5" customHeight="1" x14ac:dyDescent="0.45">
      <c r="A1328" s="515"/>
      <c r="B1328" s="381"/>
      <c r="C1328" s="125"/>
      <c r="D1328" s="126"/>
      <c r="E1328" s="513">
        <v>2019</v>
      </c>
      <c r="F1328" s="251">
        <v>5000</v>
      </c>
      <c r="G1328" s="514">
        <v>5000</v>
      </c>
      <c r="H1328" s="514">
        <v>5000</v>
      </c>
      <c r="I1328" s="514">
        <v>5000</v>
      </c>
      <c r="J1328" s="514">
        <v>5000</v>
      </c>
      <c r="K1328" s="514">
        <v>5000</v>
      </c>
      <c r="L1328" s="514">
        <v>5000</v>
      </c>
      <c r="M1328" s="514">
        <v>5000</v>
      </c>
      <c r="N1328" s="514">
        <v>5000</v>
      </c>
      <c r="O1328" s="514">
        <v>5000</v>
      </c>
      <c r="P1328" s="514">
        <v>5000</v>
      </c>
      <c r="Q1328" s="514">
        <v>5000</v>
      </c>
      <c r="R1328" s="514">
        <v>5000</v>
      </c>
      <c r="S1328" s="252">
        <f t="shared" si="68"/>
        <v>60000</v>
      </c>
      <c r="T1328" s="257">
        <f t="shared" si="69"/>
        <v>0</v>
      </c>
      <c r="AM1328" s="259"/>
    </row>
    <row r="1329" spans="1:39 16369:16369" s="258" customFormat="1" ht="52.5" customHeight="1" x14ac:dyDescent="0.75">
      <c r="A1329" s="462"/>
      <c r="B1329" s="381"/>
      <c r="C1329" s="125"/>
      <c r="D1329" s="126"/>
      <c r="E1329" s="513">
        <v>2018</v>
      </c>
      <c r="F1329" s="251">
        <v>5000</v>
      </c>
      <c r="G1329" s="514">
        <v>5000</v>
      </c>
      <c r="H1329" s="514">
        <v>5000</v>
      </c>
      <c r="I1329" s="514">
        <v>5000</v>
      </c>
      <c r="J1329" s="514">
        <v>5000</v>
      </c>
      <c r="K1329" s="514">
        <v>5000</v>
      </c>
      <c r="L1329" s="514">
        <v>5000</v>
      </c>
      <c r="M1329" s="514">
        <v>5000</v>
      </c>
      <c r="N1329" s="514">
        <v>5000</v>
      </c>
      <c r="O1329" s="514">
        <v>5000</v>
      </c>
      <c r="P1329" s="514">
        <v>5000</v>
      </c>
      <c r="Q1329" s="514">
        <v>5000</v>
      </c>
      <c r="R1329" s="514">
        <v>5000</v>
      </c>
      <c r="S1329" s="252">
        <f t="shared" si="68"/>
        <v>60000</v>
      </c>
      <c r="T1329" s="257">
        <f t="shared" si="69"/>
        <v>0</v>
      </c>
      <c r="AM1329" s="259"/>
    </row>
    <row r="1330" spans="1:39 16369:16369" s="258" customFormat="1" ht="52.5" customHeight="1" x14ac:dyDescent="0.75">
      <c r="A1330" s="462"/>
      <c r="B1330" s="381"/>
      <c r="C1330" s="125"/>
      <c r="D1330" s="126"/>
      <c r="E1330" s="513">
        <v>2017</v>
      </c>
      <c r="F1330" s="251">
        <v>5000</v>
      </c>
      <c r="G1330" s="514">
        <v>5000</v>
      </c>
      <c r="H1330" s="514">
        <v>5000</v>
      </c>
      <c r="I1330" s="514">
        <v>5000</v>
      </c>
      <c r="J1330" s="514">
        <v>5000</v>
      </c>
      <c r="K1330" s="514">
        <v>5000</v>
      </c>
      <c r="L1330" s="514">
        <v>5000</v>
      </c>
      <c r="M1330" s="514">
        <v>5000</v>
      </c>
      <c r="N1330" s="514">
        <v>5000</v>
      </c>
      <c r="O1330" s="514">
        <v>5000</v>
      </c>
      <c r="P1330" s="514">
        <v>5000</v>
      </c>
      <c r="Q1330" s="514">
        <v>5000</v>
      </c>
      <c r="R1330" s="514">
        <v>5000</v>
      </c>
      <c r="S1330" s="252">
        <f t="shared" si="68"/>
        <v>60000</v>
      </c>
      <c r="T1330" s="257">
        <f t="shared" si="69"/>
        <v>0</v>
      </c>
      <c r="AM1330" s="259"/>
    </row>
    <row r="1331" spans="1:39 16369:16369" s="258" customFormat="1" ht="52.5" customHeight="1" x14ac:dyDescent="0.75">
      <c r="A1331" s="462"/>
      <c r="B1331" s="381"/>
      <c r="C1331" s="125"/>
      <c r="D1331" s="126"/>
      <c r="E1331" s="513">
        <v>2016</v>
      </c>
      <c r="F1331" s="251">
        <v>5000</v>
      </c>
      <c r="G1331" s="514">
        <v>5000</v>
      </c>
      <c r="H1331" s="514">
        <v>5000</v>
      </c>
      <c r="I1331" s="514">
        <v>5000</v>
      </c>
      <c r="J1331" s="514">
        <v>5000</v>
      </c>
      <c r="K1331" s="514">
        <v>5000</v>
      </c>
      <c r="L1331" s="514">
        <v>5000</v>
      </c>
      <c r="M1331" s="514">
        <v>5000</v>
      </c>
      <c r="N1331" s="514">
        <v>5000</v>
      </c>
      <c r="O1331" s="514">
        <v>5000</v>
      </c>
      <c r="P1331" s="514">
        <v>5000</v>
      </c>
      <c r="Q1331" s="514">
        <v>5000</v>
      </c>
      <c r="R1331" s="514">
        <v>5000</v>
      </c>
      <c r="S1331" s="252">
        <f t="shared" si="68"/>
        <v>60000</v>
      </c>
      <c r="T1331" s="257">
        <f t="shared" si="69"/>
        <v>0</v>
      </c>
      <c r="AM1331" s="259"/>
    </row>
    <row r="1332" spans="1:39 16369:16369" s="258" customFormat="1" ht="52.5" customHeight="1" x14ac:dyDescent="0.75">
      <c r="A1332" s="551"/>
      <c r="B1332" s="381"/>
      <c r="C1332" s="129"/>
      <c r="D1332" s="130"/>
      <c r="E1332" s="513">
        <v>2015</v>
      </c>
      <c r="F1332" s="251">
        <v>5000</v>
      </c>
      <c r="G1332" s="514">
        <v>5000</v>
      </c>
      <c r="H1332" s="514">
        <v>5000</v>
      </c>
      <c r="I1332" s="514">
        <v>5000</v>
      </c>
      <c r="J1332" s="514">
        <v>5000</v>
      </c>
      <c r="K1332" s="514">
        <v>5000</v>
      </c>
      <c r="L1332" s="514">
        <v>5000</v>
      </c>
      <c r="M1332" s="514">
        <v>5000</v>
      </c>
      <c r="N1332" s="514">
        <v>5000</v>
      </c>
      <c r="O1332" s="514">
        <v>5000</v>
      </c>
      <c r="P1332" s="514">
        <v>5000</v>
      </c>
      <c r="Q1332" s="514">
        <v>5000</v>
      </c>
      <c r="R1332" s="514">
        <v>5000</v>
      </c>
      <c r="S1332" s="252">
        <f t="shared" si="68"/>
        <v>60000</v>
      </c>
      <c r="T1332" s="257">
        <f t="shared" si="69"/>
        <v>0</v>
      </c>
      <c r="AM1332" s="259"/>
    </row>
    <row r="1333" spans="1:39 16369:16369" s="258" customFormat="1" ht="52.5" customHeight="1" thickBot="1" x14ac:dyDescent="0.5">
      <c r="A1333" s="486"/>
      <c r="B1333" s="388"/>
      <c r="C1333" s="487"/>
      <c r="D1333" s="488"/>
      <c r="E1333" s="385"/>
      <c r="F1333" s="265"/>
      <c r="G1333" s="489"/>
      <c r="H1333" s="489"/>
      <c r="I1333" s="489"/>
      <c r="J1333" s="489"/>
      <c r="K1333" s="489"/>
      <c r="L1333" s="489"/>
      <c r="M1333" s="489"/>
      <c r="N1333" s="489"/>
      <c r="O1333" s="489"/>
      <c r="P1333" s="489"/>
      <c r="Q1333" s="489"/>
      <c r="R1333" s="489"/>
      <c r="S1333" s="178">
        <f>SUM(S1324:S1332)</f>
        <v>530000</v>
      </c>
      <c r="T1333" s="87">
        <f>SUM(T1322:T1332)</f>
        <v>30000</v>
      </c>
      <c r="AM1333" s="259"/>
    </row>
    <row r="1334" spans="1:39 16369:16369" s="258" customFormat="1" ht="52.5" customHeight="1" x14ac:dyDescent="0.45">
      <c r="A1334" s="486"/>
      <c r="B1334" s="388"/>
      <c r="C1334" s="487"/>
      <c r="D1334" s="488"/>
      <c r="F1334" s="253"/>
      <c r="G1334" s="512"/>
      <c r="H1334" s="512"/>
      <c r="I1334" s="512"/>
      <c r="J1334" s="512"/>
      <c r="K1334" s="512"/>
      <c r="L1334" s="512"/>
      <c r="M1334" s="512"/>
      <c r="N1334" s="512"/>
      <c r="O1334" s="512"/>
      <c r="P1334" s="512"/>
      <c r="Q1334" s="512"/>
      <c r="R1334" s="512"/>
      <c r="S1334" s="269"/>
      <c r="T1334" s="269"/>
      <c r="AM1334" s="259"/>
    </row>
    <row r="1335" spans="1:39 16369:16369" s="258" customFormat="1" ht="52.5" customHeight="1" x14ac:dyDescent="0.45">
      <c r="A1335" s="486"/>
      <c r="B1335" s="388"/>
      <c r="C1335" s="487"/>
      <c r="D1335" s="488"/>
      <c r="F1335" s="253"/>
      <c r="G1335" s="512"/>
      <c r="H1335" s="512"/>
      <c r="I1335" s="512"/>
      <c r="J1335" s="512"/>
      <c r="K1335" s="512"/>
      <c r="L1335" s="512"/>
      <c r="M1335" s="512"/>
      <c r="N1335" s="512"/>
      <c r="O1335" s="512"/>
      <c r="P1335" s="512"/>
      <c r="Q1335" s="512"/>
      <c r="R1335" s="512"/>
      <c r="S1335" s="269"/>
      <c r="T1335" s="269"/>
      <c r="AM1335" s="259"/>
    </row>
    <row r="1336" spans="1:39 16369:16369" s="374" customFormat="1" ht="52.5" customHeight="1" x14ac:dyDescent="0.4">
      <c r="A1336" s="368" t="s">
        <v>6</v>
      </c>
      <c r="B1336" s="368" t="s">
        <v>7</v>
      </c>
      <c r="C1336" s="369" t="s">
        <v>8</v>
      </c>
      <c r="D1336" s="370" t="s">
        <v>231</v>
      </c>
      <c r="E1336" s="371" t="s">
        <v>10</v>
      </c>
      <c r="F1336" s="372" t="s">
        <v>11</v>
      </c>
      <c r="G1336" s="476" t="s">
        <v>12</v>
      </c>
      <c r="H1336" s="476" t="s">
        <v>13</v>
      </c>
      <c r="I1336" s="476" t="s">
        <v>14</v>
      </c>
      <c r="J1336" s="476" t="s">
        <v>15</v>
      </c>
      <c r="K1336" s="476" t="s">
        <v>16</v>
      </c>
      <c r="L1336" s="476" t="s">
        <v>17</v>
      </c>
      <c r="M1336" s="476" t="s">
        <v>18</v>
      </c>
      <c r="N1336" s="476" t="s">
        <v>19</v>
      </c>
      <c r="O1336" s="476" t="s">
        <v>20</v>
      </c>
      <c r="P1336" s="476" t="s">
        <v>21</v>
      </c>
      <c r="Q1336" s="476" t="s">
        <v>22</v>
      </c>
      <c r="R1336" s="476" t="s">
        <v>23</v>
      </c>
      <c r="S1336" s="20" t="s">
        <v>24</v>
      </c>
      <c r="T1336" s="20" t="s">
        <v>25</v>
      </c>
      <c r="AM1336" s="375"/>
    </row>
    <row r="1337" spans="1:39 16369:16369" ht="51.75" customHeight="1" x14ac:dyDescent="0.25">
      <c r="A1337" s="477" t="s">
        <v>343</v>
      </c>
      <c r="B1337" s="17"/>
      <c r="C1337" s="377" t="s">
        <v>344</v>
      </c>
      <c r="D1337" s="19"/>
      <c r="E1337" s="26">
        <v>2025</v>
      </c>
      <c r="F1337" s="27">
        <v>10000</v>
      </c>
      <c r="G1337" s="22"/>
      <c r="H1337" s="22">
        <v>120000</v>
      </c>
      <c r="I1337" s="22"/>
      <c r="J1337" s="22"/>
      <c r="K1337" s="22"/>
      <c r="L1337" s="22"/>
      <c r="M1337" s="22"/>
      <c r="N1337" s="22"/>
      <c r="O1337" s="22"/>
      <c r="P1337" s="22"/>
      <c r="Q1337" s="22"/>
      <c r="R1337" s="22"/>
      <c r="S1337" s="64">
        <f t="shared" ref="S1337:S1345" si="70">SUM(G1337:R1337)</f>
        <v>120000</v>
      </c>
      <c r="T1337" s="29">
        <f>SUM(F1337*IF(E1337=_current_year,_current_month,12)-(S1337))</f>
        <v>0</v>
      </c>
    </row>
    <row r="1338" spans="1:39 16369:16369" ht="51.75" customHeight="1" x14ac:dyDescent="0.25">
      <c r="A1338" s="479"/>
      <c r="B1338" s="17"/>
      <c r="C1338" s="379"/>
      <c r="D1338" s="19"/>
      <c r="E1338" s="30">
        <v>2024</v>
      </c>
      <c r="F1338" s="27">
        <v>5000</v>
      </c>
      <c r="G1338" s="22"/>
      <c r="H1338" s="22">
        <v>60000</v>
      </c>
      <c r="I1338" s="22"/>
      <c r="J1338" s="22"/>
      <c r="K1338" s="22"/>
      <c r="L1338" s="22"/>
      <c r="M1338" s="22"/>
      <c r="N1338" s="22"/>
      <c r="O1338" s="22"/>
      <c r="P1338" s="22"/>
      <c r="Q1338" s="22"/>
      <c r="R1338" s="22"/>
      <c r="S1338" s="37">
        <f t="shared" si="70"/>
        <v>60000</v>
      </c>
      <c r="T1338" s="22">
        <f>SUM(F1338*IF(E1338=_current_year,_current_month,12)-(S1338))</f>
        <v>0</v>
      </c>
    </row>
    <row r="1339" spans="1:39 16369:16369" ht="51.75" customHeight="1" x14ac:dyDescent="0.25">
      <c r="A1339" s="479"/>
      <c r="B1339" s="17"/>
      <c r="C1339" s="380"/>
      <c r="D1339" s="19"/>
      <c r="E1339" s="30">
        <v>2023</v>
      </c>
      <c r="F1339" s="27">
        <v>5000</v>
      </c>
      <c r="G1339" s="22"/>
      <c r="H1339" s="22">
        <v>60000</v>
      </c>
      <c r="I1339" s="22"/>
      <c r="J1339" s="22"/>
      <c r="K1339" s="22"/>
      <c r="L1339" s="22"/>
      <c r="M1339" s="22"/>
      <c r="N1339" s="22"/>
      <c r="O1339" s="22"/>
      <c r="P1339" s="22"/>
      <c r="Q1339" s="22"/>
      <c r="R1339" s="22"/>
      <c r="S1339" s="37">
        <f t="shared" si="70"/>
        <v>60000</v>
      </c>
      <c r="T1339" s="22">
        <f>SUM(F1339*IF(E1339=_current_year,_current_month,12)-(S1339))</f>
        <v>0</v>
      </c>
    </row>
    <row r="1340" spans="1:39 16369:16369" s="220" customFormat="1" ht="48" customHeight="1" x14ac:dyDescent="0.4">
      <c r="A1340" s="479"/>
      <c r="B1340" s="33" t="s">
        <v>28</v>
      </c>
      <c r="C1340" s="34"/>
      <c r="D1340" s="35"/>
      <c r="E1340" s="30">
        <v>2022</v>
      </c>
      <c r="F1340" s="251">
        <v>5000</v>
      </c>
      <c r="G1340" s="36"/>
      <c r="H1340" s="36">
        <v>60000</v>
      </c>
      <c r="I1340" s="36"/>
      <c r="J1340" s="36"/>
      <c r="K1340" s="36"/>
      <c r="L1340" s="36"/>
      <c r="M1340" s="36"/>
      <c r="N1340" s="36"/>
      <c r="O1340" s="36"/>
      <c r="P1340" s="36"/>
      <c r="Q1340" s="36"/>
      <c r="R1340" s="36"/>
      <c r="S1340" s="37">
        <f t="shared" si="70"/>
        <v>60000</v>
      </c>
      <c r="T1340" s="37">
        <f>SUM(60000-S1340)</f>
        <v>0</v>
      </c>
      <c r="AM1340" s="250"/>
    </row>
    <row r="1341" spans="1:39 16369:16369" s="220" customFormat="1" ht="52.5" customHeight="1" x14ac:dyDescent="0.4">
      <c r="A1341" s="313" t="s">
        <v>311</v>
      </c>
      <c r="B1341" s="33" t="s">
        <v>28</v>
      </c>
      <c r="C1341" s="38" t="s">
        <v>52</v>
      </c>
      <c r="D1341" s="124"/>
      <c r="E1341" s="30">
        <v>2021</v>
      </c>
      <c r="F1341" s="251">
        <v>5000</v>
      </c>
      <c r="G1341" s="482"/>
      <c r="H1341" s="535">
        <v>60000</v>
      </c>
      <c r="I1341" s="482"/>
      <c r="J1341" s="482"/>
      <c r="K1341" s="482"/>
      <c r="L1341" s="482"/>
      <c r="M1341" s="482"/>
      <c r="N1341" s="482"/>
      <c r="O1341" s="482"/>
      <c r="P1341" s="482"/>
      <c r="Q1341" s="482"/>
      <c r="R1341" s="482"/>
      <c r="S1341" s="252">
        <f t="shared" si="70"/>
        <v>60000</v>
      </c>
      <c r="T1341" s="252">
        <f>SUM(60000-S1341)</f>
        <v>0</v>
      </c>
      <c r="AM1341" s="250"/>
      <c r="XEO1341" s="220">
        <f>SUM(E1341:XEN1341)</f>
        <v>127021</v>
      </c>
    </row>
    <row r="1342" spans="1:39 16369:16369" s="258" customFormat="1" ht="52.5" customHeight="1" x14ac:dyDescent="0.45">
      <c r="A1342" s="313"/>
      <c r="B1342" s="381" t="s">
        <v>28</v>
      </c>
      <c r="C1342" s="125"/>
      <c r="D1342" s="126"/>
      <c r="E1342" s="513">
        <v>2020</v>
      </c>
      <c r="F1342" s="251">
        <v>5000</v>
      </c>
      <c r="G1342" s="535">
        <v>60000</v>
      </c>
      <c r="H1342" s="535"/>
      <c r="I1342" s="535"/>
      <c r="J1342" s="535"/>
      <c r="K1342" s="535"/>
      <c r="L1342" s="535"/>
      <c r="M1342" s="535"/>
      <c r="N1342" s="535"/>
      <c r="O1342" s="535"/>
      <c r="P1342" s="535"/>
      <c r="Q1342" s="535"/>
      <c r="R1342" s="535"/>
      <c r="S1342" s="252">
        <f t="shared" si="70"/>
        <v>60000</v>
      </c>
      <c r="T1342" s="257">
        <f>SUM(60000-S1342)</f>
        <v>0</v>
      </c>
      <c r="AM1342" s="259"/>
    </row>
    <row r="1343" spans="1:39 16369:16369" s="258" customFormat="1" ht="52.5" customHeight="1" x14ac:dyDescent="0.45">
      <c r="A1343" s="515"/>
      <c r="B1343" s="381"/>
      <c r="C1343" s="125"/>
      <c r="D1343" s="126"/>
      <c r="E1343" s="513">
        <v>2019</v>
      </c>
      <c r="F1343" s="251">
        <v>5000</v>
      </c>
      <c r="G1343" s="514">
        <v>5000</v>
      </c>
      <c r="H1343" s="514">
        <v>5000</v>
      </c>
      <c r="I1343" s="514">
        <v>5000</v>
      </c>
      <c r="J1343" s="514">
        <v>5000</v>
      </c>
      <c r="K1343" s="514">
        <v>5000</v>
      </c>
      <c r="L1343" s="514">
        <v>5000</v>
      </c>
      <c r="M1343" s="514">
        <v>5000</v>
      </c>
      <c r="N1343" s="514">
        <v>5000</v>
      </c>
      <c r="O1343" s="514">
        <v>5000</v>
      </c>
      <c r="P1343" s="514">
        <v>5000</v>
      </c>
      <c r="Q1343" s="514">
        <v>40000</v>
      </c>
      <c r="R1343" s="514">
        <v>5000</v>
      </c>
      <c r="S1343" s="252">
        <f t="shared" si="70"/>
        <v>95000</v>
      </c>
      <c r="T1343" s="257">
        <f>SUM(60000-S1343)+(35000)</f>
        <v>0</v>
      </c>
      <c r="AM1343" s="259"/>
    </row>
    <row r="1344" spans="1:39 16369:16369" s="258" customFormat="1" ht="52.5" customHeight="1" x14ac:dyDescent="0.75">
      <c r="A1344" s="462"/>
      <c r="B1344" s="381"/>
      <c r="C1344" s="125"/>
      <c r="D1344" s="126"/>
      <c r="E1344" s="513">
        <v>2018</v>
      </c>
      <c r="F1344" s="251">
        <v>5000</v>
      </c>
      <c r="G1344" s="514">
        <v>5000</v>
      </c>
      <c r="H1344" s="514">
        <v>5000</v>
      </c>
      <c r="I1344" s="514">
        <v>5000</v>
      </c>
      <c r="J1344" s="514">
        <v>5000</v>
      </c>
      <c r="K1344" s="514">
        <v>5000</v>
      </c>
      <c r="L1344" s="514">
        <v>5000</v>
      </c>
      <c r="M1344" s="514">
        <v>5000</v>
      </c>
      <c r="N1344" s="514">
        <v>5000</v>
      </c>
      <c r="O1344" s="514">
        <v>5000</v>
      </c>
      <c r="P1344" s="514">
        <v>5000</v>
      </c>
      <c r="Q1344" s="514">
        <v>5000</v>
      </c>
      <c r="R1344" s="514">
        <v>5000</v>
      </c>
      <c r="S1344" s="252">
        <f t="shared" si="70"/>
        <v>60000</v>
      </c>
      <c r="T1344" s="257">
        <f>SUM(60000-S1344)</f>
        <v>0</v>
      </c>
      <c r="AM1344" s="259"/>
    </row>
    <row r="1345" spans="1:39" s="258" customFormat="1" ht="52.5" customHeight="1" x14ac:dyDescent="0.75">
      <c r="A1345" s="462"/>
      <c r="B1345" s="381"/>
      <c r="C1345" s="125"/>
      <c r="D1345" s="126"/>
      <c r="E1345" s="513">
        <v>2017</v>
      </c>
      <c r="F1345" s="251">
        <v>5000</v>
      </c>
      <c r="G1345" s="514">
        <v>5000</v>
      </c>
      <c r="H1345" s="514">
        <v>5000</v>
      </c>
      <c r="I1345" s="514">
        <v>5000</v>
      </c>
      <c r="J1345" s="514">
        <v>5000</v>
      </c>
      <c r="K1345" s="514">
        <v>5000</v>
      </c>
      <c r="L1345" s="514">
        <v>5000</v>
      </c>
      <c r="M1345" s="514">
        <v>5000</v>
      </c>
      <c r="N1345" s="514">
        <v>5000</v>
      </c>
      <c r="O1345" s="514">
        <v>5000</v>
      </c>
      <c r="P1345" s="514">
        <v>5000</v>
      </c>
      <c r="Q1345" s="514">
        <v>5000</v>
      </c>
      <c r="R1345" s="514">
        <v>5000</v>
      </c>
      <c r="S1345" s="252">
        <f t="shared" si="70"/>
        <v>60000</v>
      </c>
      <c r="T1345" s="257">
        <f>SUM(60000-S1345)</f>
        <v>0</v>
      </c>
      <c r="AM1345" s="259"/>
    </row>
    <row r="1346" spans="1:39" s="258" customFormat="1" ht="52.5" customHeight="1" thickBot="1" x14ac:dyDescent="0.8">
      <c r="A1346" s="382"/>
      <c r="B1346" s="381"/>
      <c r="C1346" s="383"/>
      <c r="D1346" s="384"/>
      <c r="E1346" s="385"/>
      <c r="F1346" s="265"/>
      <c r="G1346" s="489"/>
      <c r="H1346" s="489"/>
      <c r="I1346" s="489"/>
      <c r="J1346" s="489"/>
      <c r="K1346" s="489"/>
      <c r="L1346" s="489"/>
      <c r="M1346" s="489"/>
      <c r="N1346" s="489"/>
      <c r="O1346" s="489"/>
      <c r="P1346" s="489"/>
      <c r="Q1346" s="489"/>
      <c r="R1346" s="489"/>
      <c r="S1346" s="178">
        <f>SUM(S1337:S1345)</f>
        <v>635000</v>
      </c>
      <c r="T1346" s="87">
        <f>SUM(T1337:T1345)</f>
        <v>0</v>
      </c>
      <c r="AM1346" s="259"/>
    </row>
    <row r="1347" spans="1:39" s="258" customFormat="1" ht="52.5" customHeight="1" x14ac:dyDescent="0.45">
      <c r="A1347" s="486"/>
      <c r="B1347" s="388"/>
      <c r="C1347" s="487"/>
      <c r="D1347" s="488"/>
      <c r="F1347" s="253"/>
      <c r="G1347" s="512"/>
      <c r="H1347" s="512"/>
      <c r="I1347" s="512"/>
      <c r="J1347" s="512"/>
      <c r="K1347" s="512"/>
      <c r="L1347" s="512"/>
      <c r="M1347" s="512"/>
      <c r="N1347" s="512"/>
      <c r="O1347" s="512"/>
      <c r="P1347" s="512"/>
      <c r="Q1347" s="512"/>
      <c r="R1347" s="512"/>
      <c r="S1347" s="269"/>
      <c r="T1347" s="269"/>
      <c r="AM1347" s="259"/>
    </row>
    <row r="1348" spans="1:39" s="374" customFormat="1" ht="52.5" customHeight="1" x14ac:dyDescent="0.4">
      <c r="A1348" s="368" t="s">
        <v>6</v>
      </c>
      <c r="B1348" s="368" t="s">
        <v>7</v>
      </c>
      <c r="C1348" s="369" t="s">
        <v>8</v>
      </c>
      <c r="D1348" s="370" t="s">
        <v>231</v>
      </c>
      <c r="E1348" s="371" t="s">
        <v>10</v>
      </c>
      <c r="F1348" s="372" t="s">
        <v>11</v>
      </c>
      <c r="G1348" s="476" t="s">
        <v>12</v>
      </c>
      <c r="H1348" s="476" t="s">
        <v>13</v>
      </c>
      <c r="I1348" s="476" t="s">
        <v>14</v>
      </c>
      <c r="J1348" s="476" t="s">
        <v>15</v>
      </c>
      <c r="K1348" s="476" t="s">
        <v>16</v>
      </c>
      <c r="L1348" s="476" t="s">
        <v>17</v>
      </c>
      <c r="M1348" s="476" t="s">
        <v>18</v>
      </c>
      <c r="N1348" s="476" t="s">
        <v>19</v>
      </c>
      <c r="O1348" s="476" t="s">
        <v>20</v>
      </c>
      <c r="P1348" s="476" t="s">
        <v>21</v>
      </c>
      <c r="Q1348" s="476" t="s">
        <v>22</v>
      </c>
      <c r="R1348" s="476" t="s">
        <v>23</v>
      </c>
      <c r="S1348" s="20" t="s">
        <v>24</v>
      </c>
      <c r="T1348" s="20" t="s">
        <v>25</v>
      </c>
      <c r="AM1348" s="375"/>
    </row>
    <row r="1349" spans="1:39" ht="51.75" customHeight="1" x14ac:dyDescent="0.25">
      <c r="A1349" s="533">
        <v>8</v>
      </c>
      <c r="B1349" s="17"/>
      <c r="C1349" s="377" t="s">
        <v>345</v>
      </c>
      <c r="D1349" s="19"/>
      <c r="E1349" s="26">
        <v>2025</v>
      </c>
      <c r="F1349" s="27">
        <v>10000</v>
      </c>
      <c r="G1349" s="22"/>
      <c r="H1349" s="22"/>
      <c r="I1349" s="22"/>
      <c r="J1349" s="22">
        <v>120000</v>
      </c>
      <c r="K1349" s="22"/>
      <c r="L1349" s="22"/>
      <c r="M1349" s="22"/>
      <c r="N1349" s="22"/>
      <c r="O1349" s="22"/>
      <c r="P1349" s="22"/>
      <c r="Q1349" s="22"/>
      <c r="R1349" s="22"/>
      <c r="S1349" s="64">
        <f t="shared" ref="S1349:S1355" si="71">SUM(G1349:R1349)</f>
        <v>120000</v>
      </c>
      <c r="T1349" s="29">
        <f>SUM(F1349*IF(E1349=_current_year,_current_month,12)-(S1349))</f>
        <v>0</v>
      </c>
    </row>
    <row r="1350" spans="1:39" ht="51.75" customHeight="1" x14ac:dyDescent="0.25">
      <c r="A1350" s="534"/>
      <c r="B1350" s="17"/>
      <c r="C1350" s="379"/>
      <c r="D1350" s="19"/>
      <c r="E1350" s="30">
        <v>2024</v>
      </c>
      <c r="F1350" s="27">
        <v>5000</v>
      </c>
      <c r="G1350" s="22">
        <v>60000</v>
      </c>
      <c r="H1350" s="22"/>
      <c r="I1350" s="22"/>
      <c r="J1350" s="22"/>
      <c r="K1350" s="22"/>
      <c r="L1350" s="22"/>
      <c r="M1350" s="22"/>
      <c r="N1350" s="22"/>
      <c r="O1350" s="22"/>
      <c r="P1350" s="22"/>
      <c r="Q1350" s="22"/>
      <c r="R1350" s="22"/>
      <c r="S1350" s="37">
        <f t="shared" si="71"/>
        <v>60000</v>
      </c>
      <c r="T1350" s="22">
        <f>SUM(F1350*IF(E1350=_current_year,_current_month,12)-(S1350))</f>
        <v>0</v>
      </c>
    </row>
    <row r="1351" spans="1:39" ht="51.75" customHeight="1" x14ac:dyDescent="0.25">
      <c r="A1351" s="534"/>
      <c r="B1351" s="17"/>
      <c r="C1351" s="380"/>
      <c r="D1351" s="19"/>
      <c r="E1351" s="30">
        <v>2023</v>
      </c>
      <c r="F1351" s="27">
        <v>5000</v>
      </c>
      <c r="G1351" s="22">
        <v>60000</v>
      </c>
      <c r="H1351" s="22"/>
      <c r="I1351" s="22"/>
      <c r="J1351" s="22"/>
      <c r="K1351" s="22"/>
      <c r="L1351" s="22"/>
      <c r="M1351" s="22"/>
      <c r="N1351" s="22"/>
      <c r="O1351" s="22"/>
      <c r="P1351" s="22"/>
      <c r="Q1351" s="22"/>
      <c r="R1351" s="22"/>
      <c r="S1351" s="37">
        <f t="shared" si="71"/>
        <v>60000</v>
      </c>
      <c r="T1351" s="22">
        <f>SUM(F1351*12)-(S1351)</f>
        <v>0</v>
      </c>
    </row>
    <row r="1352" spans="1:39" s="220" customFormat="1" ht="48" customHeight="1" x14ac:dyDescent="0.4">
      <c r="A1352" s="534"/>
      <c r="B1352" s="33" t="s">
        <v>28</v>
      </c>
      <c r="C1352" s="34" t="s">
        <v>346</v>
      </c>
      <c r="D1352" s="35"/>
      <c r="E1352" s="30">
        <v>2022</v>
      </c>
      <c r="F1352" s="251">
        <v>5000</v>
      </c>
      <c r="G1352" s="36"/>
      <c r="H1352" s="36"/>
      <c r="I1352" s="36"/>
      <c r="J1352" s="36"/>
      <c r="K1352" s="36"/>
      <c r="L1352" s="36"/>
      <c r="M1352" s="36"/>
      <c r="N1352" s="36">
        <v>60000</v>
      </c>
      <c r="O1352" s="36"/>
      <c r="P1352" s="36"/>
      <c r="Q1352" s="36"/>
      <c r="R1352" s="36"/>
      <c r="S1352" s="37">
        <f t="shared" si="71"/>
        <v>60000</v>
      </c>
      <c r="T1352" s="252">
        <f>SUM(60000-S1352)</f>
        <v>0</v>
      </c>
      <c r="AM1352" s="250"/>
    </row>
    <row r="1353" spans="1:39" s="220" customFormat="1" ht="52.5" customHeight="1" x14ac:dyDescent="0.4">
      <c r="A1353" s="313" t="s">
        <v>311</v>
      </c>
      <c r="B1353" s="33" t="s">
        <v>28</v>
      </c>
      <c r="C1353" s="80" t="s">
        <v>52</v>
      </c>
      <c r="D1353" s="80"/>
      <c r="E1353" s="30">
        <v>2021</v>
      </c>
      <c r="F1353" s="251">
        <v>5000</v>
      </c>
      <c r="G1353" s="482"/>
      <c r="H1353" s="482"/>
      <c r="I1353" s="482"/>
      <c r="J1353" s="482"/>
      <c r="K1353" s="482">
        <v>60000</v>
      </c>
      <c r="L1353" s="482"/>
      <c r="M1353" s="482"/>
      <c r="N1353" s="482"/>
      <c r="O1353" s="482"/>
      <c r="P1353" s="482"/>
      <c r="Q1353" s="482"/>
      <c r="R1353" s="482"/>
      <c r="S1353" s="252">
        <f t="shared" si="71"/>
        <v>60000</v>
      </c>
      <c r="T1353" s="252">
        <f>SUM(60000-S1353)</f>
        <v>0</v>
      </c>
      <c r="AM1353" s="250"/>
    </row>
    <row r="1354" spans="1:39" s="258" customFormat="1" ht="52.5" customHeight="1" x14ac:dyDescent="0.45">
      <c r="A1354" s="313"/>
      <c r="B1354" s="381" t="s">
        <v>28</v>
      </c>
      <c r="C1354" s="82"/>
      <c r="D1354" s="82"/>
      <c r="E1354" s="513">
        <v>2020</v>
      </c>
      <c r="F1354" s="251">
        <v>5000</v>
      </c>
      <c r="G1354" s="516"/>
      <c r="H1354" s="516"/>
      <c r="I1354" s="516"/>
      <c r="J1354" s="516"/>
      <c r="K1354" s="516"/>
      <c r="L1354" s="516"/>
      <c r="M1354" s="516"/>
      <c r="N1354" s="516"/>
      <c r="O1354" s="516"/>
      <c r="P1354" s="516"/>
      <c r="Q1354" s="516">
        <v>60000</v>
      </c>
      <c r="R1354" s="516"/>
      <c r="S1354" s="252">
        <f t="shared" si="71"/>
        <v>60000</v>
      </c>
      <c r="T1354" s="257">
        <f>SUM(60000-S1354)</f>
        <v>0</v>
      </c>
      <c r="AM1354" s="259"/>
    </row>
    <row r="1355" spans="1:39" s="258" customFormat="1" ht="52.5" customHeight="1" x14ac:dyDescent="0.45">
      <c r="A1355" s="536"/>
      <c r="B1355" s="381"/>
      <c r="C1355" s="82"/>
      <c r="D1355" s="82"/>
      <c r="E1355" s="513">
        <v>2019</v>
      </c>
      <c r="F1355" s="251">
        <v>5000</v>
      </c>
      <c r="G1355" s="516"/>
      <c r="H1355" s="516"/>
      <c r="I1355" s="516"/>
      <c r="J1355" s="516"/>
      <c r="K1355" s="516"/>
      <c r="L1355" s="516"/>
      <c r="M1355" s="516"/>
      <c r="N1355" s="516"/>
      <c r="O1355" s="516"/>
      <c r="P1355" s="516"/>
      <c r="Q1355" s="516"/>
      <c r="R1355" s="516"/>
      <c r="S1355" s="252">
        <f t="shared" si="71"/>
        <v>0</v>
      </c>
      <c r="T1355" s="257">
        <v>0</v>
      </c>
      <c r="AM1355" s="259"/>
    </row>
    <row r="1356" spans="1:39" s="258" customFormat="1" ht="52.5" customHeight="1" thickBot="1" x14ac:dyDescent="0.5">
      <c r="A1356" s="486"/>
      <c r="B1356" s="388"/>
      <c r="C1356" s="82"/>
      <c r="D1356" s="82"/>
      <c r="E1356" s="385"/>
      <c r="F1356" s="265"/>
      <c r="G1356" s="489"/>
      <c r="H1356" s="489"/>
      <c r="I1356" s="489"/>
      <c r="J1356" s="489"/>
      <c r="K1356" s="489"/>
      <c r="L1356" s="489"/>
      <c r="M1356" s="489"/>
      <c r="N1356" s="489"/>
      <c r="O1356" s="489"/>
      <c r="P1356" s="489"/>
      <c r="Q1356" s="489"/>
      <c r="R1356" s="489"/>
      <c r="S1356" s="267">
        <f>SUM(S1349:S1355)</f>
        <v>420000</v>
      </c>
      <c r="T1356" s="87">
        <f>SUM(T1349:T1355)</f>
        <v>0</v>
      </c>
      <c r="AM1356" s="259"/>
    </row>
    <row r="1357" spans="1:39" s="258" customFormat="1" ht="52.5" customHeight="1" x14ac:dyDescent="0.45">
      <c r="A1357" s="486"/>
      <c r="B1357" s="388"/>
      <c r="C1357" s="487"/>
      <c r="D1357" s="488"/>
      <c r="F1357" s="253"/>
      <c r="G1357" s="512"/>
      <c r="H1357" s="512"/>
      <c r="I1357" s="512"/>
      <c r="J1357" s="512"/>
      <c r="K1357" s="512"/>
      <c r="L1357" s="512"/>
      <c r="M1357" s="512"/>
      <c r="N1357" s="512"/>
      <c r="O1357" s="512"/>
      <c r="P1357" s="512"/>
      <c r="Q1357" s="512"/>
      <c r="R1357" s="512"/>
      <c r="S1357" s="269"/>
      <c r="T1357" s="269"/>
      <c r="AM1357" s="259"/>
    </row>
    <row r="1358" spans="1:39" s="374" customFormat="1" ht="52.35" customHeight="1" x14ac:dyDescent="0.4">
      <c r="A1358" s="368" t="s">
        <v>6</v>
      </c>
      <c r="B1358" s="368" t="s">
        <v>7</v>
      </c>
      <c r="C1358" s="369" t="s">
        <v>8</v>
      </c>
      <c r="D1358" s="370" t="s">
        <v>231</v>
      </c>
      <c r="E1358" s="371" t="s">
        <v>10</v>
      </c>
      <c r="F1358" s="372" t="s">
        <v>11</v>
      </c>
      <c r="G1358" s="476" t="s">
        <v>12</v>
      </c>
      <c r="H1358" s="476" t="s">
        <v>13</v>
      </c>
      <c r="I1358" s="476" t="s">
        <v>14</v>
      </c>
      <c r="J1358" s="476" t="s">
        <v>15</v>
      </c>
      <c r="K1358" s="476" t="s">
        <v>16</v>
      </c>
      <c r="L1358" s="476" t="s">
        <v>17</v>
      </c>
      <c r="M1358" s="476" t="s">
        <v>18</v>
      </c>
      <c r="N1358" s="476" t="s">
        <v>19</v>
      </c>
      <c r="O1358" s="476" t="s">
        <v>20</v>
      </c>
      <c r="P1358" s="476" t="s">
        <v>21</v>
      </c>
      <c r="Q1358" s="476" t="s">
        <v>22</v>
      </c>
      <c r="R1358" s="476" t="s">
        <v>23</v>
      </c>
      <c r="S1358" s="20" t="s">
        <v>24</v>
      </c>
      <c r="T1358" s="20" t="s">
        <v>25</v>
      </c>
      <c r="AM1358" s="375"/>
    </row>
    <row r="1359" spans="1:39" ht="51.75" customHeight="1" x14ac:dyDescent="0.25">
      <c r="A1359" s="477" t="s">
        <v>43</v>
      </c>
      <c r="B1359" s="17"/>
      <c r="C1359" s="377" t="s">
        <v>347</v>
      </c>
      <c r="D1359" s="19"/>
      <c r="E1359" s="26">
        <v>2025</v>
      </c>
      <c r="F1359" s="27">
        <v>10000</v>
      </c>
      <c r="G1359" s="22">
        <v>15000</v>
      </c>
      <c r="H1359" s="22"/>
      <c r="I1359" s="22"/>
      <c r="J1359" s="22"/>
      <c r="K1359" s="22">
        <v>25000</v>
      </c>
      <c r="L1359" s="22"/>
      <c r="M1359" s="22"/>
      <c r="N1359" s="22"/>
      <c r="O1359" s="22"/>
      <c r="P1359" s="22"/>
      <c r="Q1359" s="22"/>
      <c r="R1359" s="22"/>
      <c r="S1359" s="64">
        <f t="shared" ref="S1359:S1365" si="72">SUM(G1359:R1359)</f>
        <v>40000</v>
      </c>
      <c r="T1359" s="29">
        <f>SUM(F1359*IF(E1359=_current_year,_current_month,12)-(S1359))</f>
        <v>80000</v>
      </c>
    </row>
    <row r="1360" spans="1:39" ht="51.75" customHeight="1" x14ac:dyDescent="0.25">
      <c r="A1360" s="479"/>
      <c r="B1360" s="17"/>
      <c r="C1360" s="379"/>
      <c r="D1360" s="19" t="str">
        <f ca="1">glb9a_name</f>
        <v>MENE GODWIN TONSEJU</v>
      </c>
      <c r="E1360" s="30">
        <v>2024</v>
      </c>
      <c r="F1360" s="27">
        <v>5000</v>
      </c>
      <c r="G1360" s="22"/>
      <c r="H1360" s="22"/>
      <c r="I1360" s="22"/>
      <c r="J1360" s="22">
        <v>15000</v>
      </c>
      <c r="K1360" s="22"/>
      <c r="L1360" s="22"/>
      <c r="M1360" s="22"/>
      <c r="N1360" s="22"/>
      <c r="O1360" s="22">
        <v>20000</v>
      </c>
      <c r="P1360" s="22"/>
      <c r="Q1360" s="22"/>
      <c r="R1360" s="22"/>
      <c r="S1360" s="37">
        <f t="shared" si="72"/>
        <v>35000</v>
      </c>
      <c r="T1360" s="22">
        <f>SUM(F1360*IF(E1360=_current_year,_current_month,12)-(S1360))</f>
        <v>25000</v>
      </c>
    </row>
    <row r="1361" spans="1:39" ht="51.75" customHeight="1" x14ac:dyDescent="0.25">
      <c r="A1361" s="479"/>
      <c r="B1361" s="17"/>
      <c r="C1361" s="380"/>
      <c r="D1361" s="19"/>
      <c r="E1361" s="30">
        <v>2023</v>
      </c>
      <c r="F1361" s="27">
        <v>5000</v>
      </c>
      <c r="G1361" s="22"/>
      <c r="H1361" s="22"/>
      <c r="I1361" s="22"/>
      <c r="J1361" s="22"/>
      <c r="K1361" s="22"/>
      <c r="L1361" s="22"/>
      <c r="M1361" s="22"/>
      <c r="N1361" s="22"/>
      <c r="O1361" s="22"/>
      <c r="P1361" s="22"/>
      <c r="Q1361" s="22"/>
      <c r="R1361" s="22"/>
      <c r="S1361" s="37">
        <f t="shared" si="72"/>
        <v>0</v>
      </c>
      <c r="T1361" s="22">
        <f>SUM(F1361*IF(E1361=_current_year,_current_month,12)-(S1361))</f>
        <v>60000</v>
      </c>
    </row>
    <row r="1362" spans="1:39" s="220" customFormat="1" ht="48" customHeight="1" x14ac:dyDescent="0.4">
      <c r="A1362" s="479"/>
      <c r="B1362" s="33" t="s">
        <v>28</v>
      </c>
      <c r="C1362" s="34"/>
      <c r="D1362" s="35"/>
      <c r="E1362" s="30">
        <v>2022</v>
      </c>
      <c r="F1362" s="251">
        <v>5000</v>
      </c>
      <c r="G1362" s="36"/>
      <c r="H1362" s="36"/>
      <c r="I1362" s="36"/>
      <c r="J1362" s="36"/>
      <c r="K1362" s="36"/>
      <c r="L1362" s="36"/>
      <c r="M1362" s="36"/>
      <c r="N1362" s="36"/>
      <c r="O1362" s="36"/>
      <c r="P1362" s="36"/>
      <c r="Q1362" s="36"/>
      <c r="R1362" s="36"/>
      <c r="S1362" s="37">
        <f t="shared" si="72"/>
        <v>0</v>
      </c>
      <c r="T1362" s="37">
        <f>SUM(60000-S1362)</f>
        <v>60000</v>
      </c>
      <c r="AM1362" s="250"/>
    </row>
    <row r="1363" spans="1:39" s="220" customFormat="1" ht="52.5" customHeight="1" x14ac:dyDescent="0.4">
      <c r="A1363" s="313" t="s">
        <v>311</v>
      </c>
      <c r="B1363" s="33" t="s">
        <v>28</v>
      </c>
      <c r="C1363" s="38" t="s">
        <v>52</v>
      </c>
      <c r="D1363" s="124"/>
      <c r="E1363" s="30">
        <v>2021</v>
      </c>
      <c r="F1363" s="251">
        <v>5000</v>
      </c>
      <c r="G1363" s="482"/>
      <c r="H1363" s="482"/>
      <c r="I1363" s="482"/>
      <c r="J1363" s="482"/>
      <c r="K1363" s="482"/>
      <c r="L1363" s="482"/>
      <c r="M1363" s="482"/>
      <c r="N1363" s="482"/>
      <c r="O1363" s="482"/>
      <c r="P1363" s="482"/>
      <c r="Q1363" s="552">
        <v>15000</v>
      </c>
      <c r="R1363" s="482"/>
      <c r="S1363" s="252">
        <f t="shared" si="72"/>
        <v>15000</v>
      </c>
      <c r="T1363" s="252">
        <f>SUM(60000-S1363)</f>
        <v>45000</v>
      </c>
      <c r="AM1363" s="250"/>
    </row>
    <row r="1364" spans="1:39" s="258" customFormat="1" ht="52.5" customHeight="1" x14ac:dyDescent="0.45">
      <c r="A1364" s="313"/>
      <c r="B1364" s="381" t="s">
        <v>28</v>
      </c>
      <c r="C1364" s="125"/>
      <c r="D1364" s="126"/>
      <c r="E1364" s="513">
        <v>2020</v>
      </c>
      <c r="F1364" s="251">
        <v>5000</v>
      </c>
      <c r="G1364" s="516"/>
      <c r="H1364" s="516"/>
      <c r="I1364" s="516"/>
      <c r="J1364" s="516"/>
      <c r="K1364" s="516"/>
      <c r="L1364" s="516"/>
      <c r="M1364" s="516"/>
      <c r="N1364" s="516"/>
      <c r="O1364" s="516"/>
      <c r="P1364" s="516"/>
      <c r="Q1364" s="516"/>
      <c r="R1364" s="516"/>
      <c r="S1364" s="252">
        <f t="shared" si="72"/>
        <v>0</v>
      </c>
      <c r="T1364" s="257">
        <f>SUM(60000-S1364)</f>
        <v>60000</v>
      </c>
      <c r="AM1364" s="259"/>
    </row>
    <row r="1365" spans="1:39" s="258" customFormat="1" ht="52.5" customHeight="1" x14ac:dyDescent="0.45">
      <c r="A1365" s="515"/>
      <c r="B1365" s="381"/>
      <c r="C1365" s="125"/>
      <c r="D1365" s="126"/>
      <c r="E1365" s="513">
        <v>2019</v>
      </c>
      <c r="F1365" s="251">
        <v>5000</v>
      </c>
      <c r="G1365" s="516"/>
      <c r="H1365" s="516"/>
      <c r="I1365" s="516"/>
      <c r="J1365" s="516"/>
      <c r="K1365" s="516"/>
      <c r="L1365" s="516"/>
      <c r="M1365" s="516"/>
      <c r="N1365" s="516"/>
      <c r="O1365" s="516"/>
      <c r="P1365" s="516"/>
      <c r="Q1365" s="516"/>
      <c r="R1365" s="516"/>
      <c r="S1365" s="252">
        <f t="shared" si="72"/>
        <v>0</v>
      </c>
      <c r="T1365" s="257">
        <f>SUM(60000-S1365)</f>
        <v>60000</v>
      </c>
      <c r="AM1365" s="259"/>
    </row>
    <row r="1366" spans="1:39" s="258" customFormat="1" ht="52.5" customHeight="1" x14ac:dyDescent="0.75">
      <c r="A1366" s="462"/>
      <c r="B1366" s="381"/>
      <c r="C1366" s="125"/>
      <c r="D1366" s="126"/>
      <c r="E1366" s="513">
        <v>2018</v>
      </c>
      <c r="F1366" s="251">
        <v>5000</v>
      </c>
      <c r="G1366" s="516"/>
      <c r="H1366" s="516"/>
      <c r="I1366" s="516"/>
      <c r="J1366" s="516"/>
      <c r="K1366" s="516"/>
      <c r="L1366" s="516"/>
      <c r="M1366" s="516"/>
      <c r="N1366" s="516"/>
      <c r="O1366" s="553"/>
      <c r="P1366" s="516"/>
      <c r="Q1366" s="516"/>
      <c r="R1366" s="516"/>
      <c r="S1366" s="252">
        <f>SUM(P1366:R1366)</f>
        <v>0</v>
      </c>
      <c r="T1366" s="257">
        <f>SUM(9000-S1366)</f>
        <v>9000</v>
      </c>
      <c r="AM1366" s="259"/>
    </row>
    <row r="1367" spans="1:39" s="258" customFormat="1" ht="52.5" customHeight="1" thickBot="1" x14ac:dyDescent="0.8">
      <c r="A1367" s="382"/>
      <c r="B1367" s="381"/>
      <c r="C1367" s="383"/>
      <c r="D1367" s="384"/>
      <c r="E1367" s="385"/>
      <c r="F1367" s="265"/>
      <c r="G1367" s="489"/>
      <c r="H1367" s="489"/>
      <c r="I1367" s="489"/>
      <c r="J1367" s="489"/>
      <c r="K1367" s="489"/>
      <c r="L1367" s="489"/>
      <c r="M1367" s="489"/>
      <c r="N1367" s="489"/>
      <c r="O1367" s="489"/>
      <c r="P1367" s="489"/>
      <c r="Q1367" s="489"/>
      <c r="R1367" s="489"/>
      <c r="S1367" s="178">
        <f>SUM(S1359:S1366)</f>
        <v>90000</v>
      </c>
      <c r="T1367" s="87">
        <f>SUM(T1359:T1366)</f>
        <v>399000</v>
      </c>
      <c r="AM1367" s="259"/>
    </row>
    <row r="1370" spans="1:39" s="374" customFormat="1" ht="52.5" customHeight="1" x14ac:dyDescent="0.4">
      <c r="A1370" s="368" t="s">
        <v>6</v>
      </c>
      <c r="B1370" s="368" t="s">
        <v>7</v>
      </c>
      <c r="C1370" s="369" t="s">
        <v>8</v>
      </c>
      <c r="D1370" s="370" t="s">
        <v>231</v>
      </c>
      <c r="E1370" s="371" t="s">
        <v>10</v>
      </c>
      <c r="F1370" s="372" t="s">
        <v>11</v>
      </c>
      <c r="G1370" s="476" t="s">
        <v>12</v>
      </c>
      <c r="H1370" s="476" t="s">
        <v>13</v>
      </c>
      <c r="I1370" s="476" t="s">
        <v>14</v>
      </c>
      <c r="J1370" s="476" t="s">
        <v>15</v>
      </c>
      <c r="K1370" s="476" t="s">
        <v>16</v>
      </c>
      <c r="L1370" s="476" t="s">
        <v>17</v>
      </c>
      <c r="M1370" s="476" t="s">
        <v>18</v>
      </c>
      <c r="N1370" s="476" t="s">
        <v>19</v>
      </c>
      <c r="O1370" s="476" t="s">
        <v>20</v>
      </c>
      <c r="P1370" s="476" t="s">
        <v>21</v>
      </c>
      <c r="Q1370" s="476" t="s">
        <v>22</v>
      </c>
      <c r="R1370" s="476" t="s">
        <v>23</v>
      </c>
      <c r="S1370" s="20" t="s">
        <v>24</v>
      </c>
      <c r="T1370" s="20" t="s">
        <v>25</v>
      </c>
      <c r="AM1370" s="375"/>
    </row>
    <row r="1371" spans="1:39" ht="51.75" customHeight="1" x14ac:dyDescent="0.6">
      <c r="A1371" s="554" t="s">
        <v>348</v>
      </c>
      <c r="B1371" s="17"/>
      <c r="C1371" s="377" t="s">
        <v>349</v>
      </c>
      <c r="D1371" s="19"/>
      <c r="E1371" s="26">
        <v>2025</v>
      </c>
      <c r="F1371" s="251">
        <v>5000</v>
      </c>
      <c r="G1371" s="22"/>
      <c r="H1371" s="22"/>
      <c r="I1371" s="189"/>
      <c r="J1371" s="22"/>
      <c r="K1371" s="22"/>
      <c r="L1371" s="22"/>
      <c r="M1371" s="22">
        <v>78000</v>
      </c>
      <c r="N1371" s="22"/>
      <c r="O1371" s="22"/>
      <c r="P1371" s="22"/>
      <c r="Q1371" s="22"/>
      <c r="R1371" s="22"/>
      <c r="S1371" s="64">
        <f t="shared" ref="S1371:S1377" si="73">SUM(G1371:R1371)</f>
        <v>78000</v>
      </c>
      <c r="T1371" s="29">
        <f>SUM(F1371*IF(E1371=_current_year,_current_month,12)-(S1371))</f>
        <v>-18000</v>
      </c>
    </row>
    <row r="1372" spans="1:39" ht="51.75" customHeight="1" x14ac:dyDescent="0.6">
      <c r="A1372" s="555"/>
      <c r="B1372" s="17"/>
      <c r="C1372" s="379"/>
      <c r="D1372" s="19"/>
      <c r="E1372" s="30">
        <v>2024</v>
      </c>
      <c r="F1372" s="251">
        <v>3000</v>
      </c>
      <c r="G1372" s="22"/>
      <c r="H1372" s="22">
        <v>36000</v>
      </c>
      <c r="I1372" s="189"/>
      <c r="J1372" s="22"/>
      <c r="K1372" s="22"/>
      <c r="L1372" s="22"/>
      <c r="M1372" s="22"/>
      <c r="N1372" s="22"/>
      <c r="O1372" s="22"/>
      <c r="P1372" s="22"/>
      <c r="Q1372" s="22"/>
      <c r="R1372" s="22"/>
      <c r="S1372" s="37">
        <f t="shared" si="73"/>
        <v>36000</v>
      </c>
      <c r="T1372" s="22">
        <f>SUM(F1372*IF(E1372=_current_year,_current_month,12)-(S1372))</f>
        <v>0</v>
      </c>
    </row>
    <row r="1373" spans="1:39" ht="51.75" customHeight="1" x14ac:dyDescent="0.25">
      <c r="A1373" s="555"/>
      <c r="B1373" s="17"/>
      <c r="C1373" s="380"/>
      <c r="D1373" s="19"/>
      <c r="E1373" s="30">
        <v>2023</v>
      </c>
      <c r="F1373" s="251">
        <v>3000</v>
      </c>
      <c r="G1373" s="22"/>
      <c r="H1373" s="22"/>
      <c r="I1373" s="22">
        <v>36000</v>
      </c>
      <c r="J1373" s="22"/>
      <c r="K1373" s="22"/>
      <c r="L1373" s="22"/>
      <c r="M1373" s="22"/>
      <c r="N1373" s="22"/>
      <c r="O1373" s="22"/>
      <c r="P1373" s="22"/>
      <c r="Q1373" s="22"/>
      <c r="R1373" s="22"/>
      <c r="S1373" s="37">
        <f t="shared" si="73"/>
        <v>36000</v>
      </c>
      <c r="T1373" s="22">
        <f>SUM(F1373*12)-(S1373)</f>
        <v>0</v>
      </c>
    </row>
    <row r="1374" spans="1:39" s="220" customFormat="1" ht="48" customHeight="1" x14ac:dyDescent="0.4">
      <c r="A1374" s="555"/>
      <c r="B1374" s="33" t="s">
        <v>28</v>
      </c>
      <c r="C1374" s="34" t="s">
        <v>350</v>
      </c>
      <c r="D1374" s="35"/>
      <c r="E1374" s="30">
        <v>2022</v>
      </c>
      <c r="F1374" s="251">
        <v>3000</v>
      </c>
      <c r="G1374" s="36"/>
      <c r="H1374" s="36"/>
      <c r="I1374" s="36"/>
      <c r="J1374" s="36"/>
      <c r="K1374" s="36"/>
      <c r="L1374" s="36"/>
      <c r="M1374" s="36"/>
      <c r="N1374" s="36">
        <v>36000</v>
      </c>
      <c r="O1374" s="36"/>
      <c r="P1374" s="36"/>
      <c r="Q1374" s="36"/>
      <c r="R1374" s="36"/>
      <c r="S1374" s="37">
        <f t="shared" si="73"/>
        <v>36000</v>
      </c>
      <c r="T1374" s="37">
        <f>SUM(36000-S1374)</f>
        <v>0</v>
      </c>
      <c r="AM1374" s="250"/>
    </row>
    <row r="1375" spans="1:39" s="220" customFormat="1" ht="52.5" customHeight="1" x14ac:dyDescent="0.4">
      <c r="A1375" s="313" t="s">
        <v>311</v>
      </c>
      <c r="B1375" s="33" t="s">
        <v>28</v>
      </c>
      <c r="C1375" s="38" t="s">
        <v>52</v>
      </c>
      <c r="D1375" s="124"/>
      <c r="E1375" s="30">
        <v>2021</v>
      </c>
      <c r="F1375" s="251">
        <v>3000</v>
      </c>
      <c r="G1375" s="482"/>
      <c r="H1375" s="482"/>
      <c r="I1375" s="482"/>
      <c r="J1375" s="482"/>
      <c r="K1375" s="482"/>
      <c r="L1375" s="482"/>
      <c r="M1375" s="482"/>
      <c r="N1375" s="482"/>
      <c r="O1375" s="482"/>
      <c r="P1375" s="482">
        <v>18000</v>
      </c>
      <c r="Q1375" s="482"/>
      <c r="R1375" s="482"/>
      <c r="S1375" s="252">
        <f t="shared" si="73"/>
        <v>18000</v>
      </c>
      <c r="T1375" s="252">
        <f>SUM(36000-S1375)</f>
        <v>18000</v>
      </c>
      <c r="AM1375" s="250"/>
    </row>
    <row r="1376" spans="1:39" s="258" customFormat="1" ht="52.5" customHeight="1" x14ac:dyDescent="0.45">
      <c r="A1376" s="313"/>
      <c r="B1376" s="381" t="s">
        <v>93</v>
      </c>
      <c r="C1376" s="125"/>
      <c r="D1376" s="126"/>
      <c r="E1376" s="513">
        <v>2020</v>
      </c>
      <c r="F1376" s="251">
        <v>3000</v>
      </c>
      <c r="G1376" s="516"/>
      <c r="H1376" s="516"/>
      <c r="I1376" s="516"/>
      <c r="J1376" s="516"/>
      <c r="K1376" s="516">
        <v>30000</v>
      </c>
      <c r="L1376" s="516"/>
      <c r="M1376" s="516"/>
      <c r="N1376" s="516">
        <v>45000</v>
      </c>
      <c r="O1376" s="516"/>
      <c r="P1376" s="516"/>
      <c r="Q1376" s="516"/>
      <c r="R1376" s="516"/>
      <c r="S1376" s="252">
        <f t="shared" si="73"/>
        <v>75000</v>
      </c>
      <c r="T1376" s="257">
        <f>SUM(36000-S1376)</f>
        <v>-39000</v>
      </c>
      <c r="AM1376" s="259"/>
    </row>
    <row r="1377" spans="1:39" s="258" customFormat="1" ht="52.5" customHeight="1" x14ac:dyDescent="0.45">
      <c r="A1377" s="515"/>
      <c r="B1377" s="381"/>
      <c r="C1377" s="125"/>
      <c r="D1377" s="126"/>
      <c r="E1377" s="513">
        <v>2019</v>
      </c>
      <c r="F1377" s="251">
        <v>3000</v>
      </c>
      <c r="G1377" s="516"/>
      <c r="H1377" s="516"/>
      <c r="I1377" s="516"/>
      <c r="J1377" s="516"/>
      <c r="K1377" s="516"/>
      <c r="L1377" s="516"/>
      <c r="M1377" s="516"/>
      <c r="N1377" s="516"/>
      <c r="O1377" s="516"/>
      <c r="P1377" s="516"/>
      <c r="Q1377" s="516"/>
      <c r="R1377" s="516"/>
      <c r="S1377" s="252">
        <f t="shared" si="73"/>
        <v>0</v>
      </c>
      <c r="T1377" s="257">
        <f>SUM(36000-S1377)</f>
        <v>36000</v>
      </c>
      <c r="AM1377" s="259"/>
    </row>
    <row r="1378" spans="1:39" s="258" customFormat="1" ht="52.5" customHeight="1" x14ac:dyDescent="0.75">
      <c r="A1378" s="462"/>
      <c r="B1378" s="381"/>
      <c r="C1378" s="125"/>
      <c r="D1378" s="126"/>
      <c r="E1378" s="513">
        <v>2018</v>
      </c>
      <c r="F1378" s="251">
        <v>3000</v>
      </c>
      <c r="G1378" s="516"/>
      <c r="H1378" s="516"/>
      <c r="I1378" s="516"/>
      <c r="J1378" s="556"/>
      <c r="K1378" s="516">
        <v>3000</v>
      </c>
      <c r="L1378" s="516">
        <v>3000</v>
      </c>
      <c r="M1378" s="516">
        <v>3000</v>
      </c>
      <c r="N1378" s="516">
        <v>3000</v>
      </c>
      <c r="O1378" s="516">
        <v>3000</v>
      </c>
      <c r="P1378" s="516">
        <v>3000</v>
      </c>
      <c r="Q1378" s="516">
        <v>3000</v>
      </c>
      <c r="R1378" s="516"/>
      <c r="S1378" s="252">
        <f>SUM(K1378:R1378)</f>
        <v>21000</v>
      </c>
      <c r="T1378" s="257">
        <f>SUM(24000-S1378)</f>
        <v>3000</v>
      </c>
      <c r="AM1378" s="259"/>
    </row>
    <row r="1379" spans="1:39" s="258" customFormat="1" ht="52.5" customHeight="1" thickBot="1" x14ac:dyDescent="0.5">
      <c r="A1379" s="486"/>
      <c r="B1379" s="388"/>
      <c r="C1379" s="487"/>
      <c r="D1379" s="488"/>
      <c r="E1379" s="385"/>
      <c r="F1379" s="265"/>
      <c r="G1379" s="489"/>
      <c r="H1379" s="489"/>
      <c r="I1379" s="489"/>
      <c r="J1379" s="489"/>
      <c r="K1379" s="489"/>
      <c r="L1379" s="489"/>
      <c r="M1379" s="489"/>
      <c r="N1379" s="489"/>
      <c r="O1379" s="489"/>
      <c r="P1379" s="489"/>
      <c r="Q1379" s="489"/>
      <c r="R1379" s="489"/>
      <c r="S1379" s="178">
        <f>SUM(S1371:S1378)</f>
        <v>300000</v>
      </c>
      <c r="T1379" s="87">
        <f>SUM(T1371:T1378)</f>
        <v>0</v>
      </c>
      <c r="AM1379" s="259"/>
    </row>
    <row r="1380" spans="1:39" s="258" customFormat="1" ht="52.5" customHeight="1" x14ac:dyDescent="0.45">
      <c r="A1380" s="486"/>
      <c r="B1380" s="388"/>
      <c r="C1380" s="487"/>
      <c r="D1380" s="488"/>
      <c r="E1380" s="385"/>
      <c r="F1380" s="264"/>
      <c r="G1380" s="484"/>
      <c r="H1380" s="484"/>
      <c r="I1380" s="484"/>
      <c r="J1380" s="484"/>
      <c r="K1380" s="484"/>
      <c r="L1380" s="484"/>
      <c r="M1380" s="484"/>
      <c r="N1380" s="484"/>
      <c r="O1380" s="484"/>
      <c r="P1380" s="484"/>
      <c r="Q1380" s="484"/>
      <c r="R1380" s="484"/>
      <c r="S1380" s="286"/>
      <c r="T1380" s="286"/>
      <c r="AM1380" s="259"/>
    </row>
    <row r="1381" spans="1:39" s="374" customFormat="1" ht="52.5" customHeight="1" x14ac:dyDescent="0.4">
      <c r="A1381" s="368" t="s">
        <v>6</v>
      </c>
      <c r="B1381" s="368" t="s">
        <v>7</v>
      </c>
      <c r="C1381" s="369" t="s">
        <v>8</v>
      </c>
      <c r="D1381" s="370" t="s">
        <v>231</v>
      </c>
      <c r="E1381" s="371" t="s">
        <v>10</v>
      </c>
      <c r="F1381" s="372" t="s">
        <v>11</v>
      </c>
      <c r="G1381" s="476" t="s">
        <v>12</v>
      </c>
      <c r="H1381" s="476" t="s">
        <v>13</v>
      </c>
      <c r="I1381" s="476" t="s">
        <v>14</v>
      </c>
      <c r="J1381" s="476" t="s">
        <v>15</v>
      </c>
      <c r="K1381" s="476" t="s">
        <v>16</v>
      </c>
      <c r="L1381" s="476" t="s">
        <v>17</v>
      </c>
      <c r="M1381" s="476" t="s">
        <v>18</v>
      </c>
      <c r="N1381" s="476" t="s">
        <v>19</v>
      </c>
      <c r="O1381" s="476" t="s">
        <v>20</v>
      </c>
      <c r="P1381" s="476" t="s">
        <v>21</v>
      </c>
      <c r="Q1381" s="476" t="s">
        <v>22</v>
      </c>
      <c r="R1381" s="476" t="s">
        <v>23</v>
      </c>
      <c r="S1381" s="20" t="s">
        <v>24</v>
      </c>
      <c r="T1381" s="20" t="s">
        <v>25</v>
      </c>
      <c r="AM1381" s="375"/>
    </row>
    <row r="1382" spans="1:39" ht="51.75" customHeight="1" x14ac:dyDescent="0.25">
      <c r="A1382" s="554" t="s">
        <v>351</v>
      </c>
      <c r="B1382" s="17"/>
      <c r="C1382" s="377" t="s">
        <v>352</v>
      </c>
      <c r="D1382" s="19"/>
      <c r="E1382" s="26">
        <v>2025</v>
      </c>
      <c r="F1382" s="251">
        <v>5000</v>
      </c>
      <c r="G1382" s="22"/>
      <c r="H1382" s="557">
        <v>25000</v>
      </c>
      <c r="I1382" s="558"/>
      <c r="J1382" s="558"/>
      <c r="K1382" s="558"/>
      <c r="L1382" s="558"/>
      <c r="M1382" s="559">
        <v>30000</v>
      </c>
      <c r="N1382" s="558"/>
      <c r="O1382" s="558"/>
      <c r="P1382" s="22"/>
      <c r="Q1382" s="22"/>
      <c r="R1382" s="22"/>
      <c r="S1382" s="64">
        <f>SUM(G1382:R1382)</f>
        <v>55000</v>
      </c>
      <c r="T1382" s="29">
        <f>SUM(F1382*5-(S1382))</f>
        <v>-30000</v>
      </c>
    </row>
    <row r="1383" spans="1:39" ht="51.75" customHeight="1" x14ac:dyDescent="0.6">
      <c r="A1383" s="555"/>
      <c r="B1383" s="17"/>
      <c r="C1383" s="379"/>
      <c r="D1383" s="19"/>
      <c r="E1383" s="30">
        <v>2024</v>
      </c>
      <c r="F1383" s="251">
        <v>3000</v>
      </c>
      <c r="G1383" s="22"/>
      <c r="H1383" s="557"/>
      <c r="J1383" s="557"/>
      <c r="K1383" s="557"/>
      <c r="L1383" s="557">
        <v>18000</v>
      </c>
      <c r="M1383" s="560"/>
      <c r="O1383" s="557"/>
      <c r="P1383" s="22"/>
      <c r="Q1383" s="22"/>
      <c r="R1383" s="22"/>
      <c r="S1383" s="37">
        <f>SUM(G1383:R1383)</f>
        <v>18000</v>
      </c>
      <c r="T1383" s="22">
        <f>SUM(F1383*5-(S1383))</f>
        <v>-3000</v>
      </c>
    </row>
    <row r="1384" spans="1:39" ht="51.75" customHeight="1" x14ac:dyDescent="0.25">
      <c r="A1384" s="555"/>
      <c r="B1384" s="17"/>
      <c r="C1384" s="380"/>
      <c r="D1384" s="19"/>
      <c r="E1384" s="73"/>
      <c r="F1384" s="74"/>
      <c r="G1384" s="74"/>
      <c r="H1384" s="74"/>
      <c r="I1384" s="74"/>
      <c r="J1384" s="74"/>
      <c r="K1384" s="74"/>
      <c r="L1384" s="74"/>
      <c r="M1384" s="74"/>
      <c r="N1384" s="74"/>
      <c r="O1384" s="74"/>
      <c r="P1384" s="74"/>
      <c r="Q1384" s="74"/>
      <c r="R1384" s="74"/>
      <c r="S1384" s="74"/>
      <c r="T1384" s="75"/>
    </row>
    <row r="1385" spans="1:39" s="220" customFormat="1" ht="48" customHeight="1" x14ac:dyDescent="0.4">
      <c r="A1385" s="313" t="s">
        <v>311</v>
      </c>
      <c r="B1385" s="33" t="s">
        <v>28</v>
      </c>
      <c r="C1385" s="38" t="s">
        <v>52</v>
      </c>
      <c r="D1385" s="35"/>
      <c r="E1385" s="77"/>
      <c r="F1385" s="78"/>
      <c r="G1385" s="78"/>
      <c r="H1385" s="78"/>
      <c r="I1385" s="78"/>
      <c r="J1385" s="78"/>
      <c r="K1385" s="78"/>
      <c r="L1385" s="78"/>
      <c r="M1385" s="78"/>
      <c r="N1385" s="78"/>
      <c r="O1385" s="78"/>
      <c r="P1385" s="78"/>
      <c r="Q1385" s="78"/>
      <c r="R1385" s="78"/>
      <c r="S1385" s="78"/>
      <c r="T1385" s="79"/>
      <c r="AM1385" s="250"/>
    </row>
    <row r="1386" spans="1:39" s="220" customFormat="1" ht="52.5" customHeight="1" x14ac:dyDescent="0.4">
      <c r="A1386" s="313"/>
      <c r="B1386" s="33" t="s">
        <v>28</v>
      </c>
      <c r="C1386" s="125"/>
      <c r="D1386" s="59"/>
      <c r="E1386" s="77"/>
      <c r="F1386" s="78"/>
      <c r="G1386" s="78"/>
      <c r="H1386" s="78"/>
      <c r="I1386" s="78"/>
      <c r="J1386" s="78"/>
      <c r="K1386" s="78"/>
      <c r="L1386" s="78"/>
      <c r="M1386" s="78"/>
      <c r="N1386" s="78"/>
      <c r="O1386" s="78"/>
      <c r="P1386" s="78"/>
      <c r="Q1386" s="78"/>
      <c r="R1386" s="78"/>
      <c r="S1386" s="78"/>
      <c r="T1386" s="79"/>
      <c r="AM1386" s="250"/>
    </row>
    <row r="1387" spans="1:39" s="258" customFormat="1" ht="52.5" customHeight="1" x14ac:dyDescent="0.45">
      <c r="A1387" s="313"/>
      <c r="B1387" s="381" t="s">
        <v>93</v>
      </c>
      <c r="C1387" s="125"/>
      <c r="D1387" s="61"/>
      <c r="E1387" s="77"/>
      <c r="F1387" s="78"/>
      <c r="G1387" s="78"/>
      <c r="H1387" s="78"/>
      <c r="I1387" s="78"/>
      <c r="J1387" s="78"/>
      <c r="K1387" s="78"/>
      <c r="L1387" s="78"/>
      <c r="M1387" s="78"/>
      <c r="N1387" s="78"/>
      <c r="O1387" s="78"/>
      <c r="P1387" s="78"/>
      <c r="Q1387" s="78"/>
      <c r="R1387" s="78"/>
      <c r="S1387" s="78"/>
      <c r="T1387" s="79"/>
      <c r="AM1387" s="259"/>
    </row>
    <row r="1388" spans="1:39" s="258" customFormat="1" ht="52.5" customHeight="1" thickBot="1" x14ac:dyDescent="0.5">
      <c r="A1388" s="486"/>
      <c r="B1388" s="388"/>
      <c r="C1388" s="487"/>
      <c r="D1388" s="488"/>
      <c r="E1388" s="385"/>
      <c r="F1388" s="265"/>
      <c r="G1388" s="489"/>
      <c r="H1388" s="489"/>
      <c r="I1388" s="489"/>
      <c r="J1388" s="489"/>
      <c r="K1388" s="489"/>
      <c r="L1388" s="489"/>
      <c r="M1388" s="489"/>
      <c r="N1388" s="489"/>
      <c r="O1388" s="489"/>
      <c r="P1388" s="489"/>
      <c r="Q1388" s="489"/>
      <c r="R1388" s="489"/>
      <c r="S1388" s="178">
        <f>SUM(S1382:S1387)</f>
        <v>73000</v>
      </c>
      <c r="T1388" s="87">
        <f>SUM(T1382:T1387)</f>
        <v>-33000</v>
      </c>
      <c r="AM1388" s="259"/>
    </row>
    <row r="1389" spans="1:39" s="258" customFormat="1" ht="52.5" customHeight="1" x14ac:dyDescent="0.45">
      <c r="A1389" s="486"/>
      <c r="B1389" s="388"/>
      <c r="C1389" s="487"/>
      <c r="D1389" s="488"/>
      <c r="E1389" s="385"/>
      <c r="F1389" s="264"/>
      <c r="G1389" s="484"/>
      <c r="H1389" s="484"/>
      <c r="I1389" s="484"/>
      <c r="J1389" s="484"/>
      <c r="K1389" s="484"/>
      <c r="L1389" s="484"/>
      <c r="M1389" s="484"/>
      <c r="N1389" s="484"/>
      <c r="O1389" s="484"/>
      <c r="P1389" s="484"/>
      <c r="Q1389" s="484"/>
      <c r="R1389" s="484"/>
      <c r="S1389" s="286"/>
      <c r="T1389" s="286"/>
      <c r="AM1389" s="259"/>
    </row>
    <row r="1390" spans="1:39" s="374" customFormat="1" ht="52.5" customHeight="1" x14ac:dyDescent="0.4">
      <c r="A1390" s="368" t="s">
        <v>6</v>
      </c>
      <c r="B1390" s="368" t="s">
        <v>7</v>
      </c>
      <c r="C1390" s="369" t="s">
        <v>8</v>
      </c>
      <c r="D1390" s="370" t="s">
        <v>231</v>
      </c>
      <c r="E1390" s="371" t="s">
        <v>10</v>
      </c>
      <c r="F1390" s="372" t="s">
        <v>11</v>
      </c>
      <c r="G1390" s="476" t="s">
        <v>12</v>
      </c>
      <c r="H1390" s="476" t="s">
        <v>13</v>
      </c>
      <c r="I1390" s="476" t="s">
        <v>14</v>
      </c>
      <c r="J1390" s="476" t="s">
        <v>15</v>
      </c>
      <c r="K1390" s="476" t="s">
        <v>16</v>
      </c>
      <c r="L1390" s="476" t="s">
        <v>17</v>
      </c>
      <c r="M1390" s="476" t="s">
        <v>18</v>
      </c>
      <c r="N1390" s="476" t="s">
        <v>19</v>
      </c>
      <c r="O1390" s="476" t="s">
        <v>20</v>
      </c>
      <c r="P1390" s="476" t="s">
        <v>21</v>
      </c>
      <c r="Q1390" s="476" t="s">
        <v>22</v>
      </c>
      <c r="R1390" s="476" t="s">
        <v>23</v>
      </c>
      <c r="S1390" s="20" t="s">
        <v>24</v>
      </c>
      <c r="T1390" s="20" t="s">
        <v>25</v>
      </c>
      <c r="AM1390" s="375"/>
    </row>
    <row r="1391" spans="1:39" ht="50.1" customHeight="1" x14ac:dyDescent="0.25">
      <c r="A1391" s="477" t="s">
        <v>353</v>
      </c>
      <c r="B1391" s="17"/>
      <c r="C1391" s="377" t="s">
        <v>354</v>
      </c>
      <c r="D1391" s="19" t="str">
        <f>C1391</f>
        <v>IMAEKE EJIKE KINGSLEY PASTOR.</v>
      </c>
      <c r="E1391" s="26">
        <v>2025</v>
      </c>
      <c r="F1391" s="251">
        <v>5000</v>
      </c>
      <c r="G1391" s="22"/>
      <c r="H1391" s="22"/>
      <c r="I1391" s="22"/>
      <c r="J1391" s="22"/>
      <c r="K1391" s="22"/>
      <c r="L1391" s="22"/>
      <c r="M1391" s="22">
        <v>20000</v>
      </c>
      <c r="N1391" s="22">
        <v>30000</v>
      </c>
      <c r="O1391" s="22">
        <v>28000</v>
      </c>
      <c r="P1391" s="22"/>
      <c r="Q1391" s="22"/>
      <c r="R1391" s="22"/>
      <c r="S1391" s="64">
        <f t="shared" ref="S1391:S1397" si="74">SUM(G1391:R1391)</f>
        <v>78000</v>
      </c>
      <c r="T1391" s="29">
        <f>SUM(F1391*IF(E1391=_current_year,_current_month,12)-(S1391))</f>
        <v>-18000</v>
      </c>
    </row>
    <row r="1392" spans="1:39" ht="50.1" customHeight="1" x14ac:dyDescent="0.25">
      <c r="A1392" s="479"/>
      <c r="B1392" s="17"/>
      <c r="C1392" s="379"/>
      <c r="D1392" s="19"/>
      <c r="E1392" s="30">
        <v>2024</v>
      </c>
      <c r="F1392" s="251">
        <v>3000</v>
      </c>
      <c r="G1392" s="22"/>
      <c r="H1392" s="22"/>
      <c r="I1392" s="22"/>
      <c r="J1392" s="22"/>
      <c r="K1392" s="22"/>
      <c r="L1392" s="22"/>
      <c r="M1392" s="22">
        <v>20000</v>
      </c>
      <c r="N1392" s="22"/>
      <c r="O1392" s="22"/>
      <c r="P1392" s="22"/>
      <c r="Q1392" s="22"/>
      <c r="R1392" s="22"/>
      <c r="S1392" s="37">
        <f t="shared" si="74"/>
        <v>20000</v>
      </c>
      <c r="T1392" s="22">
        <f>SUM(F1392*IF(E1392=_current_year,_current_month,12)-(S1392))</f>
        <v>16000</v>
      </c>
    </row>
    <row r="1393" spans="1:39" ht="51.75" customHeight="1" x14ac:dyDescent="0.25">
      <c r="A1393" s="479"/>
      <c r="B1393" s="17"/>
      <c r="C1393" s="379"/>
      <c r="D1393" s="19"/>
      <c r="E1393" s="30">
        <v>2023</v>
      </c>
      <c r="F1393" s="251">
        <v>3000</v>
      </c>
      <c r="G1393" s="22"/>
      <c r="H1393" s="22">
        <v>36000</v>
      </c>
      <c r="I1393" s="22"/>
      <c r="J1393" s="22"/>
      <c r="K1393" s="22"/>
      <c r="L1393" s="22"/>
      <c r="M1393" s="22"/>
      <c r="N1393" s="22"/>
      <c r="O1393" s="22"/>
      <c r="P1393" s="22"/>
      <c r="Q1393" s="22"/>
      <c r="R1393" s="22"/>
      <c r="S1393" s="37">
        <f t="shared" si="74"/>
        <v>36000</v>
      </c>
      <c r="T1393" s="22">
        <f>SUM(F1393*IF(E1393=_current_year,_current_month,12)-(S1393))</f>
        <v>0</v>
      </c>
    </row>
    <row r="1394" spans="1:39" s="220" customFormat="1" ht="48" customHeight="1" x14ac:dyDescent="0.4">
      <c r="A1394" s="479"/>
      <c r="B1394" s="33" t="s">
        <v>28</v>
      </c>
      <c r="C1394" s="380"/>
      <c r="D1394" s="35"/>
      <c r="E1394" s="30">
        <v>2022</v>
      </c>
      <c r="F1394" s="251">
        <v>3000</v>
      </c>
      <c r="G1394" s="36"/>
      <c r="H1394" s="36"/>
      <c r="I1394" s="36"/>
      <c r="J1394" s="36"/>
      <c r="K1394" s="36"/>
      <c r="L1394" s="36"/>
      <c r="M1394" s="36"/>
      <c r="N1394" s="36">
        <v>21000</v>
      </c>
      <c r="O1394" s="36"/>
      <c r="P1394" s="36"/>
      <c r="Q1394" s="36"/>
      <c r="R1394" s="36"/>
      <c r="S1394" s="37">
        <f t="shared" si="74"/>
        <v>21000</v>
      </c>
      <c r="T1394" s="37">
        <f>SUM(36000-S1394)</f>
        <v>15000</v>
      </c>
      <c r="AM1394" s="250"/>
    </row>
    <row r="1395" spans="1:39" s="220" customFormat="1" ht="52.5" customHeight="1" x14ac:dyDescent="0.4">
      <c r="A1395" s="313" t="s">
        <v>311</v>
      </c>
      <c r="B1395" s="33" t="s">
        <v>28</v>
      </c>
      <c r="C1395" s="38" t="s">
        <v>52</v>
      </c>
      <c r="D1395" s="124"/>
      <c r="E1395" s="30">
        <v>2021</v>
      </c>
      <c r="F1395" s="251">
        <v>3000</v>
      </c>
      <c r="G1395" s="482"/>
      <c r="H1395" s="482"/>
      <c r="I1395" s="482">
        <v>18000</v>
      </c>
      <c r="J1395" s="482"/>
      <c r="K1395" s="482"/>
      <c r="L1395" s="482"/>
      <c r="M1395" s="482"/>
      <c r="N1395" s="482"/>
      <c r="O1395" s="482"/>
      <c r="P1395" s="482">
        <v>18000</v>
      </c>
      <c r="Q1395" s="482"/>
      <c r="R1395" s="482"/>
      <c r="S1395" s="252">
        <f t="shared" si="74"/>
        <v>36000</v>
      </c>
      <c r="T1395" s="252">
        <f>SUM(36000-S1395)</f>
        <v>0</v>
      </c>
      <c r="AM1395" s="250"/>
    </row>
    <row r="1396" spans="1:39" s="258" customFormat="1" ht="52.5" customHeight="1" x14ac:dyDescent="0.45">
      <c r="A1396" s="313"/>
      <c r="B1396" s="381" t="s">
        <v>60</v>
      </c>
      <c r="C1396" s="125"/>
      <c r="D1396" s="126"/>
      <c r="E1396" s="513">
        <v>2020</v>
      </c>
      <c r="F1396" s="251">
        <v>3000</v>
      </c>
      <c r="G1396" s="516">
        <f>3000+9000</f>
        <v>12000</v>
      </c>
      <c r="H1396" s="516">
        <v>3000</v>
      </c>
      <c r="I1396" s="516">
        <v>1000</v>
      </c>
      <c r="J1396" s="516"/>
      <c r="K1396" s="516">
        <v>18000</v>
      </c>
      <c r="L1396" s="516"/>
      <c r="M1396" s="516"/>
      <c r="N1396" s="516"/>
      <c r="O1396" s="516"/>
      <c r="P1396" s="516"/>
      <c r="Q1396" s="516"/>
      <c r="R1396" s="516"/>
      <c r="S1396" s="252">
        <f t="shared" si="74"/>
        <v>34000</v>
      </c>
      <c r="T1396" s="257">
        <f>SUM(36000-S1396)</f>
        <v>2000</v>
      </c>
      <c r="AM1396" s="259"/>
    </row>
    <row r="1397" spans="1:39" s="258" customFormat="1" ht="52.5" customHeight="1" x14ac:dyDescent="0.45">
      <c r="A1397" s="515"/>
      <c r="B1397" s="381"/>
      <c r="C1397" s="125"/>
      <c r="D1397" s="126"/>
      <c r="E1397" s="513">
        <v>2019</v>
      </c>
      <c r="F1397" s="251">
        <v>3000</v>
      </c>
      <c r="G1397" s="516">
        <v>3000</v>
      </c>
      <c r="H1397" s="516">
        <v>3000</v>
      </c>
      <c r="I1397" s="516">
        <v>3000</v>
      </c>
      <c r="J1397" s="516">
        <v>3000</v>
      </c>
      <c r="K1397" s="516">
        <v>3000</v>
      </c>
      <c r="L1397" s="516">
        <v>3000</v>
      </c>
      <c r="M1397" s="516">
        <v>3000</v>
      </c>
      <c r="N1397" s="516">
        <v>3000</v>
      </c>
      <c r="O1397" s="516">
        <v>3000</v>
      </c>
      <c r="P1397" s="516">
        <v>3000</v>
      </c>
      <c r="Q1397" s="516">
        <v>3000</v>
      </c>
      <c r="R1397" s="516">
        <v>3000</v>
      </c>
      <c r="S1397" s="252">
        <f t="shared" si="74"/>
        <v>36000</v>
      </c>
      <c r="T1397" s="257">
        <f>SUM(36000-S1397)</f>
        <v>0</v>
      </c>
      <c r="AM1397" s="259"/>
    </row>
    <row r="1398" spans="1:39" s="258" customFormat="1" ht="52.5" customHeight="1" x14ac:dyDescent="0.75">
      <c r="A1398" s="462"/>
      <c r="B1398" s="381"/>
      <c r="C1398" s="125"/>
      <c r="D1398" s="126"/>
      <c r="E1398" s="513">
        <v>2018</v>
      </c>
      <c r="F1398" s="251">
        <v>3000</v>
      </c>
      <c r="G1398" s="516"/>
      <c r="H1398" s="516"/>
      <c r="I1398" s="516">
        <v>3000</v>
      </c>
      <c r="J1398" s="516">
        <v>3000</v>
      </c>
      <c r="K1398" s="516">
        <v>3000</v>
      </c>
      <c r="L1398" s="516">
        <v>3000</v>
      </c>
      <c r="M1398" s="516">
        <v>3000</v>
      </c>
      <c r="N1398" s="516">
        <v>3000</v>
      </c>
      <c r="O1398" s="516">
        <v>3000</v>
      </c>
      <c r="P1398" s="516">
        <v>3000</v>
      </c>
      <c r="Q1398" s="516">
        <v>3000</v>
      </c>
      <c r="R1398" s="516">
        <v>3000</v>
      </c>
      <c r="S1398" s="252">
        <f>SUM(I1398:R1398)</f>
        <v>30000</v>
      </c>
      <c r="T1398" s="257">
        <f>SUM(30000-S1398)</f>
        <v>0</v>
      </c>
      <c r="AM1398" s="259"/>
    </row>
    <row r="1399" spans="1:39" s="258" customFormat="1" ht="52.5" customHeight="1" thickBot="1" x14ac:dyDescent="0.5">
      <c r="A1399" s="486"/>
      <c r="B1399" s="388"/>
      <c r="C1399" s="487"/>
      <c r="D1399" s="561"/>
      <c r="E1399" s="385"/>
      <c r="F1399" s="265"/>
      <c r="G1399" s="489"/>
      <c r="H1399" s="489"/>
      <c r="I1399" s="489"/>
      <c r="J1399" s="489"/>
      <c r="K1399" s="489"/>
      <c r="L1399" s="489"/>
      <c r="M1399" s="489"/>
      <c r="N1399" s="489"/>
      <c r="O1399" s="489"/>
      <c r="P1399" s="489"/>
      <c r="Q1399" s="489"/>
      <c r="R1399" s="489"/>
      <c r="S1399" s="178">
        <f>SUM(S1391:S1398)</f>
        <v>291000</v>
      </c>
      <c r="T1399" s="87">
        <f>SUM(T1391:T1398)</f>
        <v>15000</v>
      </c>
      <c r="AM1399" s="259"/>
    </row>
    <row r="1400" spans="1:39" s="258" customFormat="1" ht="52.5" customHeight="1" x14ac:dyDescent="0.45">
      <c r="A1400" s="486"/>
      <c r="B1400" s="388"/>
      <c r="C1400" s="487"/>
      <c r="D1400" s="488"/>
      <c r="F1400" s="253"/>
      <c r="G1400" s="512"/>
      <c r="H1400" s="512"/>
      <c r="I1400" s="512"/>
      <c r="J1400" s="512"/>
      <c r="K1400" s="512"/>
      <c r="L1400" s="512"/>
      <c r="M1400" s="512"/>
      <c r="N1400" s="512"/>
      <c r="O1400" s="512"/>
      <c r="P1400" s="512"/>
      <c r="Q1400" s="512"/>
      <c r="R1400" s="512"/>
      <c r="S1400" s="269"/>
      <c r="T1400" s="269"/>
      <c r="AM1400" s="259"/>
    </row>
    <row r="1401" spans="1:39" s="374" customFormat="1" ht="52.5" customHeight="1" x14ac:dyDescent="0.4">
      <c r="A1401" s="368" t="s">
        <v>6</v>
      </c>
      <c r="B1401" s="368" t="s">
        <v>7</v>
      </c>
      <c r="C1401" s="369" t="s">
        <v>8</v>
      </c>
      <c r="D1401" s="370" t="s">
        <v>231</v>
      </c>
      <c r="E1401" s="371" t="s">
        <v>10</v>
      </c>
      <c r="F1401" s="372" t="s">
        <v>11</v>
      </c>
      <c r="G1401" s="476" t="s">
        <v>12</v>
      </c>
      <c r="H1401" s="476" t="s">
        <v>13</v>
      </c>
      <c r="I1401" s="476" t="s">
        <v>14</v>
      </c>
      <c r="J1401" s="476" t="s">
        <v>15</v>
      </c>
      <c r="K1401" s="476" t="s">
        <v>16</v>
      </c>
      <c r="L1401" s="476" t="s">
        <v>17</v>
      </c>
      <c r="M1401" s="476" t="s">
        <v>18</v>
      </c>
      <c r="N1401" s="476" t="s">
        <v>19</v>
      </c>
      <c r="O1401" s="476" t="s">
        <v>20</v>
      </c>
      <c r="P1401" s="476" t="s">
        <v>21</v>
      </c>
      <c r="Q1401" s="476" t="s">
        <v>22</v>
      </c>
      <c r="R1401" s="476" t="s">
        <v>23</v>
      </c>
      <c r="S1401" s="20" t="s">
        <v>24</v>
      </c>
      <c r="T1401" s="20" t="s">
        <v>25</v>
      </c>
      <c r="AM1401" s="375"/>
    </row>
    <row r="1402" spans="1:39" ht="51.75" customHeight="1" x14ac:dyDescent="0.25">
      <c r="A1402" s="533">
        <v>11</v>
      </c>
      <c r="B1402" s="17"/>
      <c r="C1402" s="377" t="s">
        <v>355</v>
      </c>
      <c r="D1402" s="19"/>
      <c r="E1402" s="26">
        <v>2025</v>
      </c>
      <c r="F1402" s="251">
        <v>2000</v>
      </c>
      <c r="G1402" s="22">
        <v>2000</v>
      </c>
      <c r="H1402" s="22">
        <v>2000</v>
      </c>
      <c r="I1402" s="22">
        <v>2000</v>
      </c>
      <c r="J1402" s="22">
        <v>2000</v>
      </c>
      <c r="K1402" s="22">
        <v>2000</v>
      </c>
      <c r="L1402" s="22">
        <v>2000</v>
      </c>
      <c r="M1402" s="159">
        <v>2000</v>
      </c>
      <c r="N1402" s="22">
        <v>2000</v>
      </c>
      <c r="O1402" s="22">
        <v>2000</v>
      </c>
      <c r="P1402" s="22"/>
      <c r="Q1402" s="22"/>
      <c r="R1402" s="22"/>
      <c r="S1402" s="64">
        <f t="shared" ref="S1402:S1412" si="75">SUM(G1402:R1402)</f>
        <v>18000</v>
      </c>
      <c r="T1402" s="29">
        <f>SUM(F1402*IF(E1402=_current_year,_current_month,12)-(S1402))</f>
        <v>6000</v>
      </c>
    </row>
    <row r="1403" spans="1:39" ht="51.75" customHeight="1" x14ac:dyDescent="0.6">
      <c r="A1403" s="534"/>
      <c r="B1403" s="17"/>
      <c r="C1403" s="379"/>
      <c r="D1403" s="19"/>
      <c r="E1403" s="30">
        <v>2024</v>
      </c>
      <c r="F1403" s="251">
        <v>2000</v>
      </c>
      <c r="G1403" s="22">
        <v>2000</v>
      </c>
      <c r="H1403" s="22">
        <v>2000</v>
      </c>
      <c r="I1403" s="22">
        <v>2000</v>
      </c>
      <c r="J1403" s="22">
        <v>2000</v>
      </c>
      <c r="K1403" s="22">
        <v>2000</v>
      </c>
      <c r="L1403" s="22">
        <v>2000</v>
      </c>
      <c r="M1403" s="189"/>
      <c r="N1403" s="22">
        <v>2000</v>
      </c>
      <c r="O1403" s="22">
        <v>2000</v>
      </c>
      <c r="P1403" s="22">
        <v>2000</v>
      </c>
      <c r="Q1403" s="22">
        <v>2000</v>
      </c>
      <c r="R1403" s="22">
        <v>2000</v>
      </c>
      <c r="S1403" s="37">
        <f t="shared" si="75"/>
        <v>22000</v>
      </c>
      <c r="T1403" s="22">
        <f>SUM(F1403*IF(E1403=_current_year,_current_month,12)-(S1403))</f>
        <v>2000</v>
      </c>
    </row>
    <row r="1404" spans="1:39" ht="51.75" customHeight="1" x14ac:dyDescent="0.25">
      <c r="A1404" s="534"/>
      <c r="B1404" s="17"/>
      <c r="C1404" s="379"/>
      <c r="D1404" s="19"/>
      <c r="E1404" s="30">
        <v>2023</v>
      </c>
      <c r="F1404" s="251">
        <v>2000</v>
      </c>
      <c r="G1404" s="22">
        <v>2000</v>
      </c>
      <c r="H1404" s="22">
        <v>2000</v>
      </c>
      <c r="I1404" s="22">
        <v>2000</v>
      </c>
      <c r="J1404" s="22">
        <v>2000</v>
      </c>
      <c r="K1404" s="22">
        <v>2000</v>
      </c>
      <c r="L1404" s="22">
        <v>2000</v>
      </c>
      <c r="M1404" s="22">
        <v>2000</v>
      </c>
      <c r="N1404" s="22">
        <v>2000</v>
      </c>
      <c r="O1404" s="22">
        <v>2000</v>
      </c>
      <c r="P1404" s="22">
        <v>2000</v>
      </c>
      <c r="Q1404" s="22">
        <v>2000</v>
      </c>
      <c r="R1404" s="22">
        <v>2000</v>
      </c>
      <c r="S1404" s="37">
        <f t="shared" si="75"/>
        <v>24000</v>
      </c>
      <c r="T1404" s="22"/>
    </row>
    <row r="1405" spans="1:39" s="220" customFormat="1" ht="48" customHeight="1" x14ac:dyDescent="0.4">
      <c r="A1405" s="534"/>
      <c r="B1405" s="33" t="s">
        <v>28</v>
      </c>
      <c r="C1405" s="380"/>
      <c r="D1405" s="35"/>
      <c r="E1405" s="30">
        <v>2022</v>
      </c>
      <c r="F1405" s="251">
        <v>2000</v>
      </c>
      <c r="G1405" s="482">
        <v>2000</v>
      </c>
      <c r="H1405" s="36">
        <v>2000</v>
      </c>
      <c r="I1405" s="36">
        <v>2000</v>
      </c>
      <c r="J1405" s="36">
        <v>2000</v>
      </c>
      <c r="K1405" s="36">
        <v>2000</v>
      </c>
      <c r="L1405" s="36">
        <v>2000</v>
      </c>
      <c r="M1405" s="36">
        <v>2000</v>
      </c>
      <c r="N1405" s="36">
        <v>2000</v>
      </c>
      <c r="O1405" s="36">
        <v>2000</v>
      </c>
      <c r="P1405" s="36">
        <v>4000</v>
      </c>
      <c r="Q1405" s="36">
        <v>2000</v>
      </c>
      <c r="R1405" s="36"/>
      <c r="S1405" s="37">
        <f t="shared" si="75"/>
        <v>24000</v>
      </c>
      <c r="T1405" s="37">
        <f t="shared" ref="T1405:T1412" si="76">SUM(24000-S1405)</f>
        <v>0</v>
      </c>
      <c r="AM1405" s="250"/>
    </row>
    <row r="1406" spans="1:39" s="220" customFormat="1" ht="52.5" customHeight="1" x14ac:dyDescent="0.4">
      <c r="A1406" s="313" t="s">
        <v>311</v>
      </c>
      <c r="B1406" s="33" t="s">
        <v>28</v>
      </c>
      <c r="C1406" s="38" t="s">
        <v>52</v>
      </c>
      <c r="D1406" s="124"/>
      <c r="E1406" s="30">
        <v>2021</v>
      </c>
      <c r="F1406" s="251">
        <v>2000</v>
      </c>
      <c r="G1406" s="540">
        <v>2000</v>
      </c>
      <c r="H1406" s="540">
        <v>2000</v>
      </c>
      <c r="I1406" s="540">
        <v>2000</v>
      </c>
      <c r="J1406" s="540">
        <v>2000</v>
      </c>
      <c r="K1406" s="540">
        <v>2000</v>
      </c>
      <c r="L1406" s="540">
        <v>2000</v>
      </c>
      <c r="M1406" s="540">
        <v>2000</v>
      </c>
      <c r="N1406" s="540">
        <v>2000</v>
      </c>
      <c r="O1406" s="516">
        <v>2000</v>
      </c>
      <c r="P1406" s="516">
        <v>2000</v>
      </c>
      <c r="Q1406" s="482">
        <v>2000</v>
      </c>
      <c r="R1406" s="482">
        <v>2000</v>
      </c>
      <c r="S1406" s="252">
        <f t="shared" si="75"/>
        <v>24000</v>
      </c>
      <c r="T1406" s="252">
        <f t="shared" si="76"/>
        <v>0</v>
      </c>
      <c r="AM1406" s="250"/>
    </row>
    <row r="1407" spans="1:39" s="258" customFormat="1" ht="52.5" customHeight="1" x14ac:dyDescent="0.45">
      <c r="A1407" s="313"/>
      <c r="B1407" s="381" t="s">
        <v>28</v>
      </c>
      <c r="C1407" s="125"/>
      <c r="D1407" s="126"/>
      <c r="E1407" s="513">
        <v>2020</v>
      </c>
      <c r="F1407" s="251">
        <v>2000</v>
      </c>
      <c r="G1407" s="540">
        <v>2000</v>
      </c>
      <c r="H1407" s="540">
        <v>2000</v>
      </c>
      <c r="I1407" s="540">
        <v>2000</v>
      </c>
      <c r="J1407" s="540">
        <v>2000</v>
      </c>
      <c r="K1407" s="540">
        <v>2000</v>
      </c>
      <c r="L1407" s="540">
        <v>2000</v>
      </c>
      <c r="M1407" s="540">
        <v>2000</v>
      </c>
      <c r="N1407" s="540">
        <v>2000</v>
      </c>
      <c r="O1407" s="516">
        <v>2000</v>
      </c>
      <c r="P1407" s="516">
        <v>2000</v>
      </c>
      <c r="Q1407" s="516">
        <v>2000</v>
      </c>
      <c r="R1407" s="516">
        <v>2000</v>
      </c>
      <c r="S1407" s="252">
        <f t="shared" si="75"/>
        <v>24000</v>
      </c>
      <c r="T1407" s="257">
        <f t="shared" si="76"/>
        <v>0</v>
      </c>
      <c r="AM1407" s="259"/>
    </row>
    <row r="1408" spans="1:39" s="258" customFormat="1" ht="52.5" customHeight="1" x14ac:dyDescent="0.45">
      <c r="A1408" s="536"/>
      <c r="B1408" s="381"/>
      <c r="C1408" s="125"/>
      <c r="D1408" s="126"/>
      <c r="E1408" s="513">
        <v>2019</v>
      </c>
      <c r="F1408" s="251">
        <v>2000</v>
      </c>
      <c r="G1408" s="516">
        <v>2000</v>
      </c>
      <c r="H1408" s="516">
        <v>2000</v>
      </c>
      <c r="I1408" s="516">
        <v>2000</v>
      </c>
      <c r="J1408" s="516">
        <v>2000</v>
      </c>
      <c r="K1408" s="516">
        <v>2000</v>
      </c>
      <c r="L1408" s="516">
        <v>2000</v>
      </c>
      <c r="M1408" s="516">
        <v>2000</v>
      </c>
      <c r="N1408" s="516">
        <v>2000</v>
      </c>
      <c r="O1408" s="516">
        <v>2000</v>
      </c>
      <c r="P1408" s="540">
        <v>2000</v>
      </c>
      <c r="Q1408" s="540">
        <v>4000</v>
      </c>
      <c r="R1408" s="540">
        <v>2000</v>
      </c>
      <c r="S1408" s="252">
        <f t="shared" si="75"/>
        <v>26000</v>
      </c>
      <c r="T1408" s="257">
        <f t="shared" si="76"/>
        <v>-2000</v>
      </c>
      <c r="AM1408" s="259"/>
    </row>
    <row r="1409" spans="1:39" s="258" customFormat="1" ht="52.5" customHeight="1" x14ac:dyDescent="0.75">
      <c r="A1409" s="462"/>
      <c r="B1409" s="381"/>
      <c r="C1409" s="125"/>
      <c r="D1409" s="126"/>
      <c r="E1409" s="513">
        <v>2018</v>
      </c>
      <c r="F1409" s="251">
        <v>2000</v>
      </c>
      <c r="G1409" s="516">
        <v>2000</v>
      </c>
      <c r="H1409" s="516">
        <v>2000</v>
      </c>
      <c r="I1409" s="516">
        <v>2000</v>
      </c>
      <c r="J1409" s="516">
        <v>2000</v>
      </c>
      <c r="K1409" s="516">
        <v>2000</v>
      </c>
      <c r="L1409" s="516">
        <v>2000</v>
      </c>
      <c r="M1409" s="516">
        <v>2000</v>
      </c>
      <c r="N1409" s="516">
        <v>2000</v>
      </c>
      <c r="O1409" s="516">
        <v>2000</v>
      </c>
      <c r="P1409" s="516">
        <v>2000</v>
      </c>
      <c r="Q1409" s="516">
        <v>2000</v>
      </c>
      <c r="R1409" s="516">
        <v>2000</v>
      </c>
      <c r="S1409" s="252">
        <f t="shared" si="75"/>
        <v>24000</v>
      </c>
      <c r="T1409" s="257">
        <f t="shared" si="76"/>
        <v>0</v>
      </c>
      <c r="AM1409" s="259"/>
    </row>
    <row r="1410" spans="1:39" s="258" customFormat="1" ht="52.5" customHeight="1" x14ac:dyDescent="0.75">
      <c r="A1410" s="462"/>
      <c r="B1410" s="381"/>
      <c r="C1410" s="125"/>
      <c r="D1410" s="126"/>
      <c r="E1410" s="513">
        <v>2017</v>
      </c>
      <c r="F1410" s="251">
        <v>2000</v>
      </c>
      <c r="G1410" s="516">
        <v>2000</v>
      </c>
      <c r="H1410" s="516">
        <v>2000</v>
      </c>
      <c r="I1410" s="516">
        <v>2000</v>
      </c>
      <c r="J1410" s="516">
        <v>2000</v>
      </c>
      <c r="K1410" s="516">
        <v>2000</v>
      </c>
      <c r="L1410" s="516">
        <v>2000</v>
      </c>
      <c r="M1410" s="516">
        <v>2000</v>
      </c>
      <c r="N1410" s="516">
        <v>2000</v>
      </c>
      <c r="O1410" s="516">
        <v>2000</v>
      </c>
      <c r="P1410" s="516">
        <v>2000</v>
      </c>
      <c r="Q1410" s="516">
        <v>2000</v>
      </c>
      <c r="R1410" s="516">
        <v>2000</v>
      </c>
      <c r="S1410" s="252">
        <f t="shared" si="75"/>
        <v>24000</v>
      </c>
      <c r="T1410" s="257">
        <f t="shared" si="76"/>
        <v>0</v>
      </c>
      <c r="AM1410" s="259"/>
    </row>
    <row r="1411" spans="1:39" s="258" customFormat="1" ht="52.5" customHeight="1" x14ac:dyDescent="0.45">
      <c r="A1411" s="543"/>
      <c r="B1411" s="388"/>
      <c r="C1411" s="125"/>
      <c r="D1411" s="126"/>
      <c r="E1411" s="513">
        <v>2016</v>
      </c>
      <c r="F1411" s="251">
        <v>2000</v>
      </c>
      <c r="G1411" s="516">
        <v>2000</v>
      </c>
      <c r="H1411" s="516">
        <v>2000</v>
      </c>
      <c r="I1411" s="516">
        <v>2000</v>
      </c>
      <c r="J1411" s="516">
        <v>2000</v>
      </c>
      <c r="K1411" s="516">
        <v>2000</v>
      </c>
      <c r="L1411" s="516">
        <v>2000</v>
      </c>
      <c r="M1411" s="516">
        <v>2000</v>
      </c>
      <c r="N1411" s="516">
        <v>2000</v>
      </c>
      <c r="O1411" s="516">
        <v>2000</v>
      </c>
      <c r="P1411" s="516">
        <v>2000</v>
      </c>
      <c r="Q1411" s="516">
        <v>2000</v>
      </c>
      <c r="R1411" s="516">
        <v>2000</v>
      </c>
      <c r="S1411" s="252">
        <f t="shared" si="75"/>
        <v>24000</v>
      </c>
      <c r="T1411" s="257">
        <f t="shared" si="76"/>
        <v>0</v>
      </c>
      <c r="AM1411" s="259"/>
    </row>
    <row r="1412" spans="1:39" s="258" customFormat="1" ht="52.5" customHeight="1" x14ac:dyDescent="0.45">
      <c r="A1412" s="544"/>
      <c r="B1412" s="388"/>
      <c r="C1412" s="129"/>
      <c r="D1412" s="130"/>
      <c r="E1412" s="513">
        <v>2015</v>
      </c>
      <c r="F1412" s="251">
        <v>2000</v>
      </c>
      <c r="G1412" s="516">
        <v>2000</v>
      </c>
      <c r="H1412" s="516">
        <v>2000</v>
      </c>
      <c r="I1412" s="516">
        <v>2000</v>
      </c>
      <c r="J1412" s="516">
        <v>2000</v>
      </c>
      <c r="K1412" s="516">
        <v>2000</v>
      </c>
      <c r="L1412" s="516">
        <v>2000</v>
      </c>
      <c r="M1412" s="516">
        <v>2000</v>
      </c>
      <c r="N1412" s="516">
        <v>2000</v>
      </c>
      <c r="O1412" s="516">
        <v>2000</v>
      </c>
      <c r="P1412" s="516">
        <v>2000</v>
      </c>
      <c r="Q1412" s="516">
        <v>2000</v>
      </c>
      <c r="R1412" s="516">
        <v>2000</v>
      </c>
      <c r="S1412" s="252">
        <f t="shared" si="75"/>
        <v>24000</v>
      </c>
      <c r="T1412" s="257">
        <f t="shared" si="76"/>
        <v>0</v>
      </c>
      <c r="AM1412" s="259"/>
    </row>
    <row r="1413" spans="1:39" s="258" customFormat="1" ht="52.5" customHeight="1" thickBot="1" x14ac:dyDescent="0.5">
      <c r="A1413" s="486"/>
      <c r="B1413" s="388"/>
      <c r="C1413" s="487"/>
      <c r="D1413" s="488"/>
      <c r="E1413" s="385"/>
      <c r="F1413" s="265"/>
      <c r="G1413" s="489"/>
      <c r="H1413" s="489"/>
      <c r="I1413" s="489"/>
      <c r="J1413" s="489"/>
      <c r="K1413" s="489"/>
      <c r="L1413" s="489"/>
      <c r="M1413" s="489"/>
      <c r="N1413" s="489"/>
      <c r="O1413" s="489"/>
      <c r="P1413" s="489"/>
      <c r="Q1413" s="489"/>
      <c r="R1413" s="489"/>
      <c r="S1413" s="267">
        <f>SUM(S1402:S1412)</f>
        <v>258000</v>
      </c>
      <c r="T1413" s="268">
        <f>SUM(T1402:T1412)</f>
        <v>6000</v>
      </c>
      <c r="AM1413" s="259"/>
    </row>
    <row r="1414" spans="1:39" s="258" customFormat="1" ht="52.5" customHeight="1" x14ac:dyDescent="0.45">
      <c r="A1414" s="486"/>
      <c r="B1414" s="388"/>
      <c r="C1414" s="487"/>
      <c r="D1414" s="488"/>
      <c r="F1414" s="253"/>
      <c r="G1414" s="512"/>
      <c r="H1414" s="512"/>
      <c r="I1414" s="512"/>
      <c r="J1414" s="512"/>
      <c r="K1414" s="512"/>
      <c r="L1414" s="512"/>
      <c r="M1414" s="512"/>
      <c r="N1414" s="512"/>
      <c r="O1414" s="512"/>
      <c r="P1414" s="512"/>
      <c r="Q1414" s="512"/>
      <c r="R1414" s="512"/>
      <c r="S1414" s="269"/>
      <c r="T1414" s="269"/>
      <c r="AM1414" s="259"/>
    </row>
    <row r="1415" spans="1:39" s="374" customFormat="1" ht="52.5" customHeight="1" x14ac:dyDescent="0.4">
      <c r="A1415" s="368" t="s">
        <v>6</v>
      </c>
      <c r="B1415" s="368" t="s">
        <v>7</v>
      </c>
      <c r="C1415" s="369" t="s">
        <v>8</v>
      </c>
      <c r="D1415" s="370" t="s">
        <v>231</v>
      </c>
      <c r="E1415" s="371" t="s">
        <v>10</v>
      </c>
      <c r="F1415" s="372" t="s">
        <v>11</v>
      </c>
      <c r="G1415" s="476" t="s">
        <v>12</v>
      </c>
      <c r="H1415" s="476" t="s">
        <v>13</v>
      </c>
      <c r="I1415" s="476" t="s">
        <v>14</v>
      </c>
      <c r="J1415" s="476" t="s">
        <v>15</v>
      </c>
      <c r="K1415" s="476" t="s">
        <v>16</v>
      </c>
      <c r="L1415" s="476" t="s">
        <v>17</v>
      </c>
      <c r="M1415" s="476" t="s">
        <v>18</v>
      </c>
      <c r="N1415" s="476" t="s">
        <v>19</v>
      </c>
      <c r="O1415" s="476" t="s">
        <v>20</v>
      </c>
      <c r="P1415" s="476" t="s">
        <v>21</v>
      </c>
      <c r="Q1415" s="476" t="s">
        <v>22</v>
      </c>
      <c r="R1415" s="476" t="s">
        <v>23</v>
      </c>
      <c r="S1415" s="20" t="s">
        <v>24</v>
      </c>
      <c r="T1415" s="20" t="s">
        <v>25</v>
      </c>
      <c r="AM1415" s="375"/>
    </row>
    <row r="1416" spans="1:39" ht="51.75" customHeight="1" x14ac:dyDescent="0.25">
      <c r="A1416" s="562"/>
      <c r="B1416" s="17"/>
      <c r="C1416" s="377" t="s">
        <v>356</v>
      </c>
      <c r="D1416" s="19" t="str">
        <f>C1416</f>
        <v>MICAH SUNDAY UKAKA</v>
      </c>
      <c r="E1416" s="26">
        <v>2025</v>
      </c>
      <c r="F1416" s="27">
        <v>10000</v>
      </c>
      <c r="G1416" s="22"/>
      <c r="H1416" s="22"/>
      <c r="I1416" s="22"/>
      <c r="J1416" s="22"/>
      <c r="K1416" s="22"/>
      <c r="L1416" s="22"/>
      <c r="M1416" s="22"/>
      <c r="N1416" s="22"/>
      <c r="O1416" s="22">
        <v>180000</v>
      </c>
      <c r="P1416" s="22"/>
      <c r="Q1416" s="22"/>
      <c r="R1416" s="22"/>
      <c r="S1416" s="64">
        <f t="shared" ref="S1416:S1422" si="77">SUM(G1416:R1416)</f>
        <v>180000</v>
      </c>
      <c r="T1416" s="29">
        <f>SUM(F1416*IF(E1416=_current_year,_current_month,12)-(S1416))</f>
        <v>-60000</v>
      </c>
    </row>
    <row r="1417" spans="1:39" ht="51.75" customHeight="1" x14ac:dyDescent="0.25">
      <c r="A1417" s="533">
        <v>12</v>
      </c>
      <c r="B1417" s="17"/>
      <c r="C1417" s="379"/>
      <c r="D1417" s="19"/>
      <c r="E1417" s="30">
        <v>2024</v>
      </c>
      <c r="F1417" s="27">
        <v>5000</v>
      </c>
      <c r="G1417" s="22"/>
      <c r="H1417" s="22"/>
      <c r="I1417" s="22"/>
      <c r="J1417" s="22"/>
      <c r="K1417" s="22"/>
      <c r="L1417" s="22"/>
      <c r="M1417" s="22"/>
      <c r="N1417" s="22"/>
      <c r="O1417" s="22"/>
      <c r="P1417" s="22"/>
      <c r="Q1417" s="22"/>
      <c r="R1417" s="22"/>
      <c r="S1417" s="37">
        <f t="shared" si="77"/>
        <v>0</v>
      </c>
      <c r="T1417" s="22">
        <f>SUM(F1417*IF(E1417=_current_year,_current_month,12)-(S1417))</f>
        <v>60000</v>
      </c>
    </row>
    <row r="1418" spans="1:39" ht="51.75" customHeight="1" x14ac:dyDescent="0.25">
      <c r="A1418" s="534"/>
      <c r="B1418" s="17"/>
      <c r="C1418" s="379"/>
      <c r="D1418" s="19"/>
      <c r="E1418" s="30">
        <v>2023</v>
      </c>
      <c r="F1418" s="27">
        <v>5000</v>
      </c>
      <c r="G1418" s="22"/>
      <c r="H1418" s="22"/>
      <c r="I1418" s="22">
        <v>60000</v>
      </c>
      <c r="J1418" s="22"/>
      <c r="K1418" s="22"/>
      <c r="L1418" s="22"/>
      <c r="M1418" s="22"/>
      <c r="N1418" s="22"/>
      <c r="O1418" s="22"/>
      <c r="P1418" s="22"/>
      <c r="Q1418" s="22"/>
      <c r="R1418" s="22"/>
      <c r="S1418" s="37">
        <f t="shared" si="77"/>
        <v>60000</v>
      </c>
      <c r="T1418" s="22">
        <f>SUM(F1418*IF(E1418=_current_year,_current_month,12)-(S1418))</f>
        <v>0</v>
      </c>
    </row>
    <row r="1419" spans="1:39" s="220" customFormat="1" ht="48" customHeight="1" x14ac:dyDescent="0.4">
      <c r="A1419" s="534"/>
      <c r="B1419" s="33" t="s">
        <v>28</v>
      </c>
      <c r="C1419" s="380"/>
      <c r="D1419" s="35"/>
      <c r="E1419" s="30">
        <v>2022</v>
      </c>
      <c r="F1419" s="251">
        <v>5000</v>
      </c>
      <c r="G1419" s="36"/>
      <c r="H1419" s="36"/>
      <c r="I1419" s="36"/>
      <c r="J1419" s="563">
        <v>30000</v>
      </c>
      <c r="K1419" s="36"/>
      <c r="L1419" s="36"/>
      <c r="M1419" s="36"/>
      <c r="N1419" s="36"/>
      <c r="O1419" s="36"/>
      <c r="P1419" s="36"/>
      <c r="Q1419" s="36"/>
      <c r="R1419" s="36"/>
      <c r="S1419" s="37">
        <f t="shared" si="77"/>
        <v>30000</v>
      </c>
      <c r="T1419" s="37">
        <f>SUM(60000-S1419)</f>
        <v>30000</v>
      </c>
      <c r="AM1419" s="250"/>
    </row>
    <row r="1420" spans="1:39" s="220" customFormat="1" ht="52.5" customHeight="1" x14ac:dyDescent="0.4">
      <c r="A1420" s="313" t="s">
        <v>311</v>
      </c>
      <c r="B1420" s="33" t="s">
        <v>28</v>
      </c>
      <c r="C1420" s="38" t="s">
        <v>52</v>
      </c>
      <c r="D1420" s="124"/>
      <c r="E1420" s="30">
        <v>2021</v>
      </c>
      <c r="F1420" s="251">
        <v>5000</v>
      </c>
      <c r="G1420" s="482"/>
      <c r="H1420" s="482"/>
      <c r="I1420" s="482"/>
      <c r="J1420" s="482"/>
      <c r="K1420" s="482"/>
      <c r="L1420" s="482"/>
      <c r="M1420" s="482"/>
      <c r="N1420" s="482"/>
      <c r="O1420" s="482"/>
      <c r="P1420" s="482"/>
      <c r="Q1420" s="482">
        <v>24000</v>
      </c>
      <c r="R1420" s="482"/>
      <c r="S1420" s="252">
        <f t="shared" si="77"/>
        <v>24000</v>
      </c>
      <c r="T1420" s="252">
        <f>SUM(60000-S1420)</f>
        <v>36000</v>
      </c>
      <c r="AM1420" s="250"/>
    </row>
    <row r="1421" spans="1:39" s="258" customFormat="1" ht="52.5" customHeight="1" x14ac:dyDescent="0.45">
      <c r="A1421" s="313"/>
      <c r="B1421" s="381" t="s">
        <v>28</v>
      </c>
      <c r="C1421" s="125"/>
      <c r="D1421" s="126"/>
      <c r="E1421" s="513">
        <v>2020</v>
      </c>
      <c r="F1421" s="251">
        <v>5000</v>
      </c>
      <c r="G1421" s="564">
        <v>3000</v>
      </c>
      <c r="H1421" s="564">
        <v>3000</v>
      </c>
      <c r="I1421" s="564">
        <v>3000</v>
      </c>
      <c r="J1421" s="564">
        <v>3000</v>
      </c>
      <c r="K1421" s="564">
        <v>3000</v>
      </c>
      <c r="L1421" s="564">
        <v>3000</v>
      </c>
      <c r="M1421" s="564">
        <v>3000</v>
      </c>
      <c r="N1421" s="564">
        <v>3000</v>
      </c>
      <c r="O1421" s="565">
        <v>63000</v>
      </c>
      <c r="P1421" s="566"/>
      <c r="Q1421" s="566"/>
      <c r="R1421" s="566"/>
      <c r="S1421" s="252">
        <f t="shared" si="77"/>
        <v>87000</v>
      </c>
      <c r="T1421" s="257">
        <f>SUM(42000-S1421)</f>
        <v>-45000</v>
      </c>
      <c r="AM1421" s="259"/>
    </row>
    <row r="1422" spans="1:39" s="258" customFormat="1" ht="52.5" customHeight="1" x14ac:dyDescent="0.45">
      <c r="A1422" s="536"/>
      <c r="B1422" s="381"/>
      <c r="C1422" s="125"/>
      <c r="D1422" s="126"/>
      <c r="E1422" s="541">
        <v>2019</v>
      </c>
      <c r="F1422" s="251">
        <v>3000</v>
      </c>
      <c r="G1422" s="564">
        <v>3000</v>
      </c>
      <c r="H1422" s="564">
        <v>3000</v>
      </c>
      <c r="I1422" s="564">
        <v>3000</v>
      </c>
      <c r="J1422" s="564">
        <v>3000</v>
      </c>
      <c r="K1422" s="564">
        <v>3000</v>
      </c>
      <c r="L1422" s="564">
        <v>3000</v>
      </c>
      <c r="M1422" s="564">
        <v>3000</v>
      </c>
      <c r="N1422" s="564">
        <v>3000</v>
      </c>
      <c r="O1422" s="564">
        <v>3000</v>
      </c>
      <c r="P1422" s="566"/>
      <c r="Q1422" s="566"/>
      <c r="R1422" s="566"/>
      <c r="S1422" s="252">
        <f t="shared" si="77"/>
        <v>27000</v>
      </c>
      <c r="T1422" s="257">
        <f>SUM(36000-S1422)</f>
        <v>9000</v>
      </c>
      <c r="AM1422" s="259"/>
    </row>
    <row r="1423" spans="1:39" s="258" customFormat="1" ht="52.5" customHeight="1" x14ac:dyDescent="0.75">
      <c r="A1423" s="462"/>
      <c r="B1423" s="381"/>
      <c r="C1423" s="129"/>
      <c r="D1423" s="130"/>
      <c r="E1423" s="541">
        <v>2018</v>
      </c>
      <c r="F1423" s="251">
        <v>3000</v>
      </c>
      <c r="G1423" s="567"/>
      <c r="H1423" s="568"/>
      <c r="I1423" s="568"/>
      <c r="J1423" s="568"/>
      <c r="K1423" s="568"/>
      <c r="L1423" s="568"/>
      <c r="M1423" s="569"/>
      <c r="N1423" s="570">
        <v>3000</v>
      </c>
      <c r="O1423" s="570">
        <v>3000</v>
      </c>
      <c r="P1423" s="570">
        <v>3000</v>
      </c>
      <c r="Q1423" s="570">
        <v>3000</v>
      </c>
      <c r="R1423" s="570">
        <v>3000</v>
      </c>
      <c r="S1423" s="252">
        <f>SUM(N1423:R1423)</f>
        <v>15000</v>
      </c>
      <c r="T1423" s="257">
        <f>SUM(15000-S1423)</f>
        <v>0</v>
      </c>
      <c r="AM1423" s="259"/>
    </row>
    <row r="1424" spans="1:39" s="258" customFormat="1" ht="52.5" customHeight="1" thickBot="1" x14ac:dyDescent="0.5">
      <c r="A1424" s="486"/>
      <c r="B1424" s="388"/>
      <c r="C1424" s="487"/>
      <c r="D1424" s="488"/>
      <c r="E1424" s="385"/>
      <c r="F1424" s="266"/>
      <c r="G1424" s="489"/>
      <c r="H1424" s="489"/>
      <c r="I1424" s="489"/>
      <c r="J1424" s="489"/>
      <c r="K1424" s="489"/>
      <c r="L1424" s="489"/>
      <c r="M1424" s="489"/>
      <c r="N1424" s="489"/>
      <c r="O1424" s="489"/>
      <c r="P1424" s="489"/>
      <c r="Q1424" s="489"/>
      <c r="R1424" s="489"/>
      <c r="S1424" s="178">
        <f>SUM(S1417:S1423)</f>
        <v>243000</v>
      </c>
      <c r="T1424" s="87">
        <f>SUM(T1416:T1423)</f>
        <v>30000</v>
      </c>
      <c r="AM1424" s="259"/>
    </row>
    <row r="1425" spans="1:39 16369:16369" s="258" customFormat="1" ht="52.5" customHeight="1" x14ac:dyDescent="0.45">
      <c r="A1425" s="486"/>
      <c r="B1425" s="388"/>
      <c r="C1425" s="487"/>
      <c r="D1425" s="488"/>
      <c r="F1425" s="253"/>
      <c r="G1425" s="512"/>
      <c r="H1425" s="512"/>
      <c r="I1425" s="512"/>
      <c r="J1425" s="512"/>
      <c r="K1425" s="512"/>
      <c r="L1425" s="512"/>
      <c r="M1425" s="512"/>
      <c r="N1425" s="512"/>
      <c r="O1425" s="512"/>
      <c r="P1425" s="512"/>
      <c r="Q1425" s="512"/>
      <c r="R1425" s="512"/>
      <c r="S1425" s="269"/>
      <c r="T1425" s="269"/>
      <c r="AM1425" s="259"/>
    </row>
    <row r="1426" spans="1:39 16369:16369" s="374" customFormat="1" ht="157.5" x14ac:dyDescent="0.4">
      <c r="A1426" s="368" t="s">
        <v>6</v>
      </c>
      <c r="B1426" s="368" t="s">
        <v>7</v>
      </c>
      <c r="C1426" s="369" t="s">
        <v>8</v>
      </c>
      <c r="D1426" s="370" t="s">
        <v>231</v>
      </c>
      <c r="E1426" s="371" t="s">
        <v>10</v>
      </c>
      <c r="F1426" s="372" t="s">
        <v>11</v>
      </c>
      <c r="G1426" s="476" t="s">
        <v>12</v>
      </c>
      <c r="H1426" s="476" t="s">
        <v>13</v>
      </c>
      <c r="I1426" s="476" t="s">
        <v>14</v>
      </c>
      <c r="J1426" s="476" t="s">
        <v>15</v>
      </c>
      <c r="K1426" s="476" t="s">
        <v>16</v>
      </c>
      <c r="L1426" s="476" t="s">
        <v>17</v>
      </c>
      <c r="M1426" s="476" t="s">
        <v>18</v>
      </c>
      <c r="N1426" s="476" t="s">
        <v>19</v>
      </c>
      <c r="O1426" s="476" t="s">
        <v>20</v>
      </c>
      <c r="P1426" s="476" t="s">
        <v>21</v>
      </c>
      <c r="Q1426" s="476" t="s">
        <v>22</v>
      </c>
      <c r="R1426" s="476" t="s">
        <v>23</v>
      </c>
      <c r="S1426" s="20" t="s">
        <v>24</v>
      </c>
      <c r="T1426" s="20" t="s">
        <v>25</v>
      </c>
      <c r="AM1426" s="375"/>
    </row>
    <row r="1427" spans="1:39 16369:16369" ht="36.75" x14ac:dyDescent="0.25">
      <c r="A1427" s="562"/>
      <c r="B1427" s="17"/>
      <c r="C1427" s="377"/>
      <c r="D1427" s="19"/>
      <c r="E1427" s="26">
        <v>2025</v>
      </c>
      <c r="F1427" s="27">
        <v>5000</v>
      </c>
      <c r="G1427" s="22"/>
      <c r="H1427" s="22"/>
      <c r="I1427" s="22"/>
      <c r="J1427" s="22"/>
      <c r="K1427" s="22"/>
      <c r="L1427" s="22"/>
      <c r="M1427" s="22"/>
      <c r="N1427" s="22"/>
      <c r="O1427" s="22"/>
      <c r="P1427" s="22"/>
      <c r="Q1427" s="22"/>
      <c r="R1427" s="22"/>
      <c r="S1427" s="64">
        <f>SUM(G1427:R1427)</f>
        <v>0</v>
      </c>
      <c r="T1427" s="29">
        <f>SUM(F1427*IF(E1427=_current_year,_current_month,12)-(S1427))</f>
        <v>60000</v>
      </c>
    </row>
    <row r="1428" spans="1:39 16369:16369" ht="36.75" x14ac:dyDescent="0.25">
      <c r="A1428" s="533" t="s">
        <v>357</v>
      </c>
      <c r="B1428" s="17"/>
      <c r="C1428" s="380"/>
      <c r="D1428" s="19"/>
      <c r="E1428" s="30">
        <v>2024</v>
      </c>
      <c r="F1428" s="27">
        <v>3000</v>
      </c>
      <c r="G1428" s="22"/>
      <c r="H1428" s="22"/>
      <c r="I1428" s="22"/>
      <c r="J1428" s="22"/>
      <c r="K1428" s="22"/>
      <c r="L1428" s="22"/>
      <c r="M1428" s="22"/>
      <c r="N1428" s="22"/>
      <c r="O1428" s="22"/>
      <c r="P1428" s="22"/>
      <c r="Q1428" s="22"/>
      <c r="R1428" s="22"/>
      <c r="S1428" s="37">
        <f>SUM(G1428:R1428)</f>
        <v>0</v>
      </c>
      <c r="T1428" s="22">
        <f>SUM(F1428*IF(E1428=_current_year,_current_month,12)-(S1428))</f>
        <v>36000</v>
      </c>
    </row>
    <row r="1429" spans="1:39 16369:16369" ht="36.75" x14ac:dyDescent="0.25">
      <c r="A1429" s="534"/>
      <c r="B1429" s="17"/>
      <c r="C1429" s="571"/>
      <c r="D1429" s="19"/>
      <c r="E1429" s="30">
        <v>2023</v>
      </c>
      <c r="F1429" s="27">
        <v>3000</v>
      </c>
      <c r="G1429" s="22"/>
      <c r="H1429" s="22"/>
      <c r="I1429" s="22"/>
      <c r="J1429" s="22"/>
      <c r="K1429" s="22"/>
      <c r="L1429" s="336"/>
      <c r="M1429" s="22"/>
      <c r="N1429" s="22"/>
      <c r="O1429" s="22"/>
      <c r="P1429" s="22"/>
      <c r="Q1429" s="22"/>
      <c r="R1429" s="22"/>
      <c r="S1429" s="37">
        <f>SUM(G1429:R1429)</f>
        <v>0</v>
      </c>
      <c r="T1429" s="358">
        <f>SUM(30000-S1429)</f>
        <v>30000</v>
      </c>
    </row>
    <row r="1430" spans="1:39 16369:16369" s="220" customFormat="1" ht="37.35" customHeight="1" x14ac:dyDescent="0.4">
      <c r="A1430" s="534"/>
      <c r="B1430" s="33" t="s">
        <v>28</v>
      </c>
      <c r="C1430" s="142"/>
      <c r="D1430" s="35"/>
      <c r="E1430" s="306" t="s">
        <v>358</v>
      </c>
      <c r="F1430" s="74"/>
      <c r="G1430" s="74"/>
      <c r="H1430" s="74"/>
      <c r="I1430" s="74"/>
      <c r="J1430" s="74"/>
      <c r="K1430" s="74"/>
      <c r="L1430" s="74"/>
      <c r="M1430" s="74"/>
      <c r="N1430" s="74"/>
      <c r="O1430" s="74"/>
      <c r="P1430" s="74"/>
      <c r="Q1430" s="74"/>
      <c r="R1430" s="74"/>
      <c r="S1430" s="74"/>
      <c r="T1430" s="75"/>
      <c r="AM1430" s="250"/>
    </row>
    <row r="1431" spans="1:39 16369:16369" s="220" customFormat="1" ht="386.65" customHeight="1" x14ac:dyDescent="0.4">
      <c r="A1431" s="313" t="s">
        <v>311</v>
      </c>
      <c r="B1431" s="33" t="s">
        <v>28</v>
      </c>
      <c r="C1431" s="38" t="s">
        <v>52</v>
      </c>
      <c r="D1431" s="59"/>
      <c r="E1431" s="77"/>
      <c r="F1431" s="78"/>
      <c r="G1431" s="78"/>
      <c r="H1431" s="78"/>
      <c r="I1431" s="78"/>
      <c r="J1431" s="78"/>
      <c r="K1431" s="78"/>
      <c r="L1431" s="78"/>
      <c r="M1431" s="78"/>
      <c r="N1431" s="78"/>
      <c r="O1431" s="78"/>
      <c r="P1431" s="78"/>
      <c r="Q1431" s="78"/>
      <c r="R1431" s="78"/>
      <c r="S1431" s="78"/>
      <c r="T1431" s="79"/>
      <c r="AM1431" s="250"/>
      <c r="XEO1431" s="220">
        <f>SUM(E1431:XEN1431)</f>
        <v>0</v>
      </c>
    </row>
    <row r="1432" spans="1:39 16369:16369" s="258" customFormat="1" ht="36.75" x14ac:dyDescent="0.45">
      <c r="A1432" s="313"/>
      <c r="B1432" s="381" t="s">
        <v>28</v>
      </c>
      <c r="C1432" s="125"/>
      <c r="D1432" s="61"/>
      <c r="E1432" s="167"/>
      <c r="F1432" s="168"/>
      <c r="G1432" s="168"/>
      <c r="H1432" s="168"/>
      <c r="I1432" s="168"/>
      <c r="J1432" s="168"/>
      <c r="K1432" s="168"/>
      <c r="L1432" s="168"/>
      <c r="M1432" s="168"/>
      <c r="N1432" s="168"/>
      <c r="O1432" s="168"/>
      <c r="P1432" s="168"/>
      <c r="Q1432" s="168"/>
      <c r="R1432" s="168"/>
      <c r="S1432" s="168"/>
      <c r="T1432" s="169"/>
      <c r="AM1432" s="259"/>
    </row>
    <row r="1433" spans="1:39 16369:16369" s="258" customFormat="1" ht="60" thickBot="1" x14ac:dyDescent="0.5">
      <c r="A1433" s="486"/>
      <c r="B1433" s="388"/>
      <c r="C1433" s="487"/>
      <c r="D1433" s="488"/>
      <c r="E1433" s="385"/>
      <c r="F1433" s="265"/>
      <c r="G1433" s="489"/>
      <c r="H1433" s="489"/>
      <c r="I1433" s="489"/>
      <c r="J1433" s="489"/>
      <c r="K1433" s="489"/>
      <c r="L1433" s="489"/>
      <c r="M1433" s="489"/>
      <c r="N1433" s="489"/>
      <c r="O1433" s="489"/>
      <c r="P1433" s="489"/>
      <c r="Q1433" s="489"/>
      <c r="R1433" s="489"/>
      <c r="S1433" s="178">
        <f>SUM(S1428:S1432)</f>
        <v>0</v>
      </c>
      <c r="T1433" s="87">
        <f>SUM(T1428:T1432)</f>
        <v>66000</v>
      </c>
      <c r="AM1433" s="259"/>
    </row>
    <row r="1434" spans="1:39 16369:16369" s="258" customFormat="1" ht="59.25" x14ac:dyDescent="0.45">
      <c r="A1434" s="486"/>
      <c r="B1434" s="388"/>
      <c r="C1434" s="487"/>
      <c r="D1434" s="488"/>
      <c r="E1434" s="385"/>
      <c r="F1434" s="264"/>
      <c r="G1434" s="484"/>
      <c r="H1434" s="484"/>
      <c r="I1434" s="484"/>
      <c r="J1434" s="484"/>
      <c r="K1434" s="484"/>
      <c r="L1434" s="484"/>
      <c r="M1434" s="484"/>
      <c r="N1434" s="484"/>
      <c r="O1434" s="484"/>
      <c r="P1434" s="484"/>
      <c r="Q1434" s="484"/>
      <c r="R1434" s="484"/>
      <c r="S1434" s="286"/>
      <c r="T1434" s="286"/>
      <c r="AM1434" s="259"/>
    </row>
    <row r="1435" spans="1:39 16369:16369" s="258" customFormat="1" ht="52.5" customHeight="1" x14ac:dyDescent="0.45">
      <c r="A1435" s="486"/>
      <c r="B1435" s="388"/>
      <c r="C1435" s="487"/>
      <c r="D1435" s="488"/>
      <c r="F1435" s="253"/>
      <c r="G1435" s="512"/>
      <c r="H1435" s="512"/>
      <c r="I1435" s="512"/>
      <c r="J1435" s="512"/>
      <c r="K1435" s="512"/>
      <c r="L1435" s="512"/>
      <c r="M1435" s="512"/>
      <c r="N1435" s="512"/>
      <c r="O1435" s="512"/>
      <c r="P1435" s="512"/>
      <c r="Q1435" s="512"/>
      <c r="R1435" s="512"/>
      <c r="S1435" s="269"/>
      <c r="T1435" s="269"/>
      <c r="AM1435" s="259"/>
    </row>
    <row r="1436" spans="1:39 16369:16369" s="374" customFormat="1" ht="157.5" x14ac:dyDescent="0.4">
      <c r="A1436" s="368" t="s">
        <v>6</v>
      </c>
      <c r="B1436" s="368" t="s">
        <v>7</v>
      </c>
      <c r="C1436" s="369" t="s">
        <v>8</v>
      </c>
      <c r="D1436" s="370" t="s">
        <v>231</v>
      </c>
      <c r="E1436" s="371" t="s">
        <v>10</v>
      </c>
      <c r="F1436" s="372" t="s">
        <v>11</v>
      </c>
      <c r="G1436" s="476" t="s">
        <v>12</v>
      </c>
      <c r="H1436" s="476" t="s">
        <v>13</v>
      </c>
      <c r="I1436" s="476" t="s">
        <v>14</v>
      </c>
      <c r="J1436" s="476" t="s">
        <v>15</v>
      </c>
      <c r="K1436" s="476" t="s">
        <v>16</v>
      </c>
      <c r="L1436" s="476" t="s">
        <v>17</v>
      </c>
      <c r="M1436" s="476" t="s">
        <v>18</v>
      </c>
      <c r="N1436" s="476" t="s">
        <v>19</v>
      </c>
      <c r="O1436" s="476" t="s">
        <v>20</v>
      </c>
      <c r="P1436" s="476" t="s">
        <v>21</v>
      </c>
      <c r="Q1436" s="476" t="s">
        <v>22</v>
      </c>
      <c r="R1436" s="476" t="s">
        <v>23</v>
      </c>
      <c r="S1436" s="20" t="s">
        <v>24</v>
      </c>
      <c r="T1436" s="20" t="s">
        <v>25</v>
      </c>
      <c r="AM1436" s="375"/>
    </row>
    <row r="1437" spans="1:39 16369:16369" ht="36.75" x14ac:dyDescent="0.25">
      <c r="A1437" s="562"/>
      <c r="B1437" s="17"/>
      <c r="C1437" s="377" t="s">
        <v>359</v>
      </c>
      <c r="D1437" s="19"/>
      <c r="E1437" s="26">
        <v>2025</v>
      </c>
      <c r="F1437" s="27">
        <v>5000</v>
      </c>
      <c r="G1437" s="22"/>
      <c r="H1437" s="22"/>
      <c r="I1437" s="22"/>
      <c r="J1437" s="22"/>
      <c r="K1437" s="22"/>
      <c r="L1437" s="22"/>
      <c r="M1437" s="22"/>
      <c r="N1437" s="22"/>
      <c r="O1437" s="22"/>
      <c r="P1437" s="22"/>
      <c r="Q1437" s="22"/>
      <c r="R1437" s="22"/>
      <c r="S1437" s="64">
        <f>SUM(G1437:R1437)</f>
        <v>0</v>
      </c>
      <c r="T1437" s="29">
        <f>SUM(F1437*IF(E1437=_current_year,_current_month,12)-(S1437))</f>
        <v>60000</v>
      </c>
    </row>
    <row r="1438" spans="1:39 16369:16369" ht="36.75" x14ac:dyDescent="0.25">
      <c r="A1438" s="533" t="s">
        <v>360</v>
      </c>
      <c r="B1438" s="17"/>
      <c r="C1438" s="380"/>
      <c r="D1438" s="19"/>
      <c r="E1438" s="30">
        <v>2024</v>
      </c>
      <c r="F1438" s="27">
        <v>3000</v>
      </c>
      <c r="G1438" s="22">
        <v>30000</v>
      </c>
      <c r="H1438" s="22"/>
      <c r="I1438" s="22"/>
      <c r="J1438" s="22"/>
      <c r="K1438" s="22"/>
      <c r="L1438" s="22"/>
      <c r="M1438" s="22"/>
      <c r="N1438" s="22"/>
      <c r="O1438" s="22"/>
      <c r="P1438" s="22"/>
      <c r="Q1438" s="22"/>
      <c r="R1438" s="22"/>
      <c r="S1438" s="37">
        <f>SUM(G1438:R1438)</f>
        <v>30000</v>
      </c>
      <c r="T1438" s="22">
        <f>SUM(F1438*IF(E1438=_current_year,_current_month,12)-(S1438))</f>
        <v>6000</v>
      </c>
    </row>
    <row r="1439" spans="1:39 16369:16369" ht="36.75" x14ac:dyDescent="0.25">
      <c r="A1439" s="534"/>
      <c r="B1439" s="17"/>
      <c r="C1439" s="571" t="s">
        <v>361</v>
      </c>
      <c r="D1439" s="19"/>
      <c r="E1439" s="30">
        <v>2023</v>
      </c>
      <c r="F1439" s="27">
        <v>3000</v>
      </c>
      <c r="G1439" s="22"/>
      <c r="H1439" s="22"/>
      <c r="I1439" s="22"/>
      <c r="J1439" s="22"/>
      <c r="K1439" s="22"/>
      <c r="L1439" s="336">
        <v>30000</v>
      </c>
      <c r="M1439" s="22"/>
      <c r="N1439" s="22"/>
      <c r="O1439" s="22"/>
      <c r="P1439" s="22"/>
      <c r="Q1439" s="22"/>
      <c r="R1439" s="22"/>
      <c r="S1439" s="37">
        <f>SUM(G1439:R1439)</f>
        <v>30000</v>
      </c>
      <c r="T1439" s="358">
        <f>SUM(30000-S1439)</f>
        <v>0</v>
      </c>
    </row>
    <row r="1440" spans="1:39 16369:16369" s="220" customFormat="1" ht="37.35" customHeight="1" x14ac:dyDescent="0.4">
      <c r="A1440" s="534"/>
      <c r="B1440" s="33" t="s">
        <v>28</v>
      </c>
      <c r="C1440" s="142" t="s">
        <v>362</v>
      </c>
      <c r="D1440" s="35"/>
      <c r="E1440" s="73"/>
      <c r="F1440" s="74"/>
      <c r="G1440" s="74"/>
      <c r="H1440" s="74"/>
      <c r="I1440" s="74"/>
      <c r="J1440" s="74"/>
      <c r="K1440" s="74"/>
      <c r="L1440" s="74"/>
      <c r="M1440" s="74"/>
      <c r="N1440" s="74"/>
      <c r="O1440" s="74"/>
      <c r="P1440" s="74"/>
      <c r="Q1440" s="74"/>
      <c r="R1440" s="74"/>
      <c r="S1440" s="74"/>
      <c r="T1440" s="75"/>
      <c r="AM1440" s="250"/>
    </row>
    <row r="1441" spans="1:39 16369:16369" s="220" customFormat="1" ht="386.65" customHeight="1" x14ac:dyDescent="0.4">
      <c r="A1441" s="313" t="s">
        <v>311</v>
      </c>
      <c r="B1441" s="33" t="s">
        <v>28</v>
      </c>
      <c r="C1441" s="38" t="s">
        <v>52</v>
      </c>
      <c r="D1441" s="59"/>
      <c r="E1441" s="77"/>
      <c r="F1441" s="78"/>
      <c r="G1441" s="78"/>
      <c r="H1441" s="78"/>
      <c r="I1441" s="78"/>
      <c r="J1441" s="78"/>
      <c r="K1441" s="78"/>
      <c r="L1441" s="78"/>
      <c r="M1441" s="78"/>
      <c r="N1441" s="78"/>
      <c r="O1441" s="78"/>
      <c r="P1441" s="78"/>
      <c r="Q1441" s="78"/>
      <c r="R1441" s="78"/>
      <c r="S1441" s="78"/>
      <c r="T1441" s="79"/>
      <c r="AM1441" s="250"/>
      <c r="XEO1441" s="220">
        <f>SUM(E1441:XEN1441)</f>
        <v>0</v>
      </c>
    </row>
    <row r="1442" spans="1:39 16369:16369" s="258" customFormat="1" ht="36.75" x14ac:dyDescent="0.45">
      <c r="A1442" s="313"/>
      <c r="B1442" s="381" t="s">
        <v>28</v>
      </c>
      <c r="C1442" s="125"/>
      <c r="D1442" s="61"/>
      <c r="E1442" s="167"/>
      <c r="F1442" s="168"/>
      <c r="G1442" s="168"/>
      <c r="H1442" s="168"/>
      <c r="I1442" s="168"/>
      <c r="J1442" s="168"/>
      <c r="K1442" s="168"/>
      <c r="L1442" s="168"/>
      <c r="M1442" s="168"/>
      <c r="N1442" s="168"/>
      <c r="O1442" s="168"/>
      <c r="P1442" s="168"/>
      <c r="Q1442" s="168"/>
      <c r="R1442" s="168"/>
      <c r="S1442" s="168"/>
      <c r="T1442" s="169"/>
      <c r="AM1442" s="259"/>
    </row>
    <row r="1443" spans="1:39 16369:16369" s="258" customFormat="1" ht="60" thickBot="1" x14ac:dyDescent="0.5">
      <c r="A1443" s="486"/>
      <c r="B1443" s="388"/>
      <c r="C1443" s="487"/>
      <c r="D1443" s="488"/>
      <c r="E1443" s="385"/>
      <c r="F1443" s="265"/>
      <c r="G1443" s="489"/>
      <c r="H1443" s="489"/>
      <c r="I1443" s="489"/>
      <c r="J1443" s="489"/>
      <c r="K1443" s="489"/>
      <c r="L1443" s="489"/>
      <c r="M1443" s="489"/>
      <c r="N1443" s="489"/>
      <c r="O1443" s="489"/>
      <c r="P1443" s="489"/>
      <c r="Q1443" s="489"/>
      <c r="R1443" s="489"/>
      <c r="S1443" s="178">
        <f>SUM(S1438:S1442)</f>
        <v>60000</v>
      </c>
      <c r="T1443" s="87">
        <f>SUM(T1438:T1442)</f>
        <v>6000</v>
      </c>
      <c r="AM1443" s="259"/>
    </row>
    <row r="1444" spans="1:39 16369:16369" s="258" customFormat="1" ht="59.25" x14ac:dyDescent="0.45">
      <c r="A1444" s="486"/>
      <c r="B1444" s="388"/>
      <c r="C1444" s="487"/>
      <c r="D1444" s="488"/>
      <c r="E1444" s="385"/>
      <c r="F1444" s="264"/>
      <c r="G1444" s="484"/>
      <c r="H1444" s="484"/>
      <c r="I1444" s="484"/>
      <c r="J1444" s="484"/>
      <c r="K1444" s="484"/>
      <c r="L1444" s="484"/>
      <c r="M1444" s="484"/>
      <c r="N1444" s="484"/>
      <c r="O1444" s="484"/>
      <c r="P1444" s="484"/>
      <c r="Q1444" s="484"/>
      <c r="R1444" s="484"/>
      <c r="S1444" s="286"/>
      <c r="T1444" s="286"/>
      <c r="AM1444" s="259"/>
    </row>
    <row r="1445" spans="1:39 16369:16369" s="374" customFormat="1" ht="157.5" x14ac:dyDescent="0.4">
      <c r="A1445" s="368" t="s">
        <v>6</v>
      </c>
      <c r="B1445" s="368" t="s">
        <v>7</v>
      </c>
      <c r="C1445" s="369" t="s">
        <v>8</v>
      </c>
      <c r="D1445" s="370" t="s">
        <v>231</v>
      </c>
      <c r="E1445" s="371" t="s">
        <v>10</v>
      </c>
      <c r="F1445" s="372" t="s">
        <v>11</v>
      </c>
      <c r="G1445" s="373" t="s">
        <v>12</v>
      </c>
      <c r="H1445" s="373" t="s">
        <v>13</v>
      </c>
      <c r="I1445" s="373" t="s">
        <v>14</v>
      </c>
      <c r="J1445" s="373" t="s">
        <v>15</v>
      </c>
      <c r="K1445" s="373" t="s">
        <v>16</v>
      </c>
      <c r="L1445" s="373" t="s">
        <v>17</v>
      </c>
      <c r="M1445" s="373" t="s">
        <v>18</v>
      </c>
      <c r="N1445" s="373" t="s">
        <v>19</v>
      </c>
      <c r="O1445" s="373" t="s">
        <v>20</v>
      </c>
      <c r="P1445" s="373" t="s">
        <v>21</v>
      </c>
      <c r="Q1445" s="373" t="s">
        <v>22</v>
      </c>
      <c r="R1445" s="373" t="s">
        <v>23</v>
      </c>
      <c r="S1445" s="20" t="s">
        <v>24</v>
      </c>
      <c r="T1445" s="20" t="s">
        <v>25</v>
      </c>
      <c r="AM1445" s="375"/>
    </row>
    <row r="1446" spans="1:39 16369:16369" ht="36.75" x14ac:dyDescent="0.25">
      <c r="A1446" s="572">
        <v>14</v>
      </c>
      <c r="B1446" s="17"/>
      <c r="C1446" s="377" t="s">
        <v>363</v>
      </c>
      <c r="D1446" s="19"/>
      <c r="E1446" s="26">
        <v>2025</v>
      </c>
      <c r="F1446" s="27">
        <v>10000</v>
      </c>
      <c r="G1446" s="159"/>
      <c r="H1446" s="159"/>
      <c r="I1446" s="159"/>
      <c r="J1446" s="159"/>
      <c r="K1446" s="159"/>
      <c r="L1446" s="159"/>
      <c r="M1446" s="159"/>
      <c r="N1446" s="159"/>
      <c r="O1446" s="159"/>
      <c r="P1446" s="159"/>
      <c r="Q1446" s="159"/>
      <c r="R1446" s="159"/>
      <c r="S1446" s="64">
        <f t="shared" ref="S1446:S1456" si="78">SUM(G1446:R1446)</f>
        <v>0</v>
      </c>
      <c r="T1446" s="29">
        <f>SUM(F1446*IF(E1446=_current_year,_current_month,12)-(S1446))</f>
        <v>120000</v>
      </c>
    </row>
    <row r="1447" spans="1:39 16369:16369" ht="36.75" x14ac:dyDescent="0.25">
      <c r="A1447" s="573"/>
      <c r="B1447" s="17"/>
      <c r="C1447" s="379"/>
      <c r="D1447" s="19"/>
      <c r="E1447" s="30">
        <v>2024</v>
      </c>
      <c r="F1447" s="27">
        <v>5000</v>
      </c>
      <c r="G1447" s="159"/>
      <c r="H1447" s="159"/>
      <c r="I1447" s="159"/>
      <c r="J1447" s="159"/>
      <c r="K1447" s="159"/>
      <c r="L1447" s="159"/>
      <c r="M1447" s="159"/>
      <c r="N1447" s="159"/>
      <c r="O1447" s="159"/>
      <c r="P1447" s="159"/>
      <c r="Q1447" s="159"/>
      <c r="R1447" s="159"/>
      <c r="S1447" s="37">
        <f t="shared" si="78"/>
        <v>0</v>
      </c>
      <c r="T1447" s="22">
        <f>SUM(F1447*IF(E1447=_current_year,_current_month,12)-(S1447))</f>
        <v>60000</v>
      </c>
    </row>
    <row r="1448" spans="1:39 16369:16369" ht="36.75" x14ac:dyDescent="0.25">
      <c r="A1448" s="573"/>
      <c r="B1448" s="17"/>
      <c r="C1448" s="380"/>
      <c r="D1448" s="19"/>
      <c r="E1448" s="30">
        <v>2023</v>
      </c>
      <c r="F1448" s="27">
        <v>5000</v>
      </c>
      <c r="G1448" s="159"/>
      <c r="H1448" s="159"/>
      <c r="I1448" s="159"/>
      <c r="J1448" s="159"/>
      <c r="K1448" s="159"/>
      <c r="L1448" s="159"/>
      <c r="M1448" s="159"/>
      <c r="N1448" s="159"/>
      <c r="O1448" s="159"/>
      <c r="P1448" s="159"/>
      <c r="Q1448" s="159"/>
      <c r="R1448" s="159"/>
      <c r="S1448" s="37">
        <f t="shared" si="78"/>
        <v>0</v>
      </c>
      <c r="T1448" s="22">
        <f>SUM(F1448*IF(E1448=_current_year,_current_month,12)-(S1448))</f>
        <v>60000</v>
      </c>
    </row>
    <row r="1449" spans="1:39 16369:16369" s="220" customFormat="1" ht="36.75" x14ac:dyDescent="0.4">
      <c r="A1449" s="573"/>
      <c r="B1449" s="33" t="s">
        <v>28</v>
      </c>
      <c r="C1449" s="142"/>
      <c r="D1449" s="35"/>
      <c r="E1449" s="30">
        <v>2022</v>
      </c>
      <c r="F1449" s="251">
        <v>5000</v>
      </c>
      <c r="G1449" s="574"/>
      <c r="H1449" s="574"/>
      <c r="I1449" s="574"/>
      <c r="J1449" s="574"/>
      <c r="K1449" s="574"/>
      <c r="L1449" s="574"/>
      <c r="M1449" s="574"/>
      <c r="N1449" s="574"/>
      <c r="O1449" s="574"/>
      <c r="P1449" s="574"/>
      <c r="Q1449" s="574"/>
      <c r="R1449" s="574"/>
      <c r="S1449" s="37">
        <f t="shared" si="78"/>
        <v>0</v>
      </c>
      <c r="T1449" s="37">
        <f t="shared" ref="T1449:T1456" si="79">SUM(60000-S1449)</f>
        <v>60000</v>
      </c>
      <c r="AM1449" s="250"/>
    </row>
    <row r="1450" spans="1:39 16369:16369" s="220" customFormat="1" ht="36.75" x14ac:dyDescent="0.4">
      <c r="A1450" s="313" t="s">
        <v>311</v>
      </c>
      <c r="B1450" s="33" t="s">
        <v>28</v>
      </c>
      <c r="C1450" s="38" t="s">
        <v>52</v>
      </c>
      <c r="D1450" s="124"/>
      <c r="E1450" s="30">
        <v>2021</v>
      </c>
      <c r="F1450" s="251">
        <v>5000</v>
      </c>
      <c r="G1450" s="575"/>
      <c r="H1450" s="575"/>
      <c r="I1450" s="575"/>
      <c r="J1450" s="575"/>
      <c r="K1450" s="575"/>
      <c r="L1450" s="575"/>
      <c r="M1450" s="575"/>
      <c r="N1450" s="575"/>
      <c r="O1450" s="575"/>
      <c r="P1450" s="575"/>
      <c r="Q1450" s="575"/>
      <c r="R1450" s="575"/>
      <c r="S1450" s="318">
        <f t="shared" si="78"/>
        <v>0</v>
      </c>
      <c r="T1450" s="318">
        <f t="shared" si="79"/>
        <v>60000</v>
      </c>
      <c r="AM1450" s="250"/>
      <c r="XEO1450" s="220">
        <f>SUM(E1450:XEN1450)</f>
        <v>67021</v>
      </c>
    </row>
    <row r="1451" spans="1:39 16369:16369" s="258" customFormat="1" ht="36.75" x14ac:dyDescent="0.45">
      <c r="A1451" s="313"/>
      <c r="B1451" s="381" t="s">
        <v>28</v>
      </c>
      <c r="C1451" s="125"/>
      <c r="D1451" s="126"/>
      <c r="E1451" s="513">
        <v>2020</v>
      </c>
      <c r="F1451" s="251">
        <v>5000</v>
      </c>
      <c r="G1451" s="576">
        <v>100000</v>
      </c>
      <c r="H1451" s="576"/>
      <c r="I1451" s="576"/>
      <c r="J1451" s="576"/>
      <c r="K1451" s="576"/>
      <c r="L1451" s="576"/>
      <c r="M1451" s="576"/>
      <c r="N1451" s="576"/>
      <c r="O1451" s="576"/>
      <c r="P1451" s="576"/>
      <c r="Q1451" s="576"/>
      <c r="R1451" s="576"/>
      <c r="S1451" s="318">
        <f t="shared" si="78"/>
        <v>100000</v>
      </c>
      <c r="T1451" s="358">
        <f t="shared" si="79"/>
        <v>-40000</v>
      </c>
      <c r="AM1451" s="259"/>
    </row>
    <row r="1452" spans="1:39 16369:16369" s="258" customFormat="1" ht="59.25" x14ac:dyDescent="0.45">
      <c r="A1452" s="577"/>
      <c r="B1452" s="381"/>
      <c r="C1452" s="125"/>
      <c r="D1452" s="126"/>
      <c r="E1452" s="513">
        <v>2019</v>
      </c>
      <c r="F1452" s="251">
        <v>5000</v>
      </c>
      <c r="G1452" s="576"/>
      <c r="H1452" s="576"/>
      <c r="I1452" s="576"/>
      <c r="J1452" s="576"/>
      <c r="K1452" s="576"/>
      <c r="L1452" s="576">
        <v>150000</v>
      </c>
      <c r="M1452" s="576"/>
      <c r="N1452" s="576"/>
      <c r="O1452" s="576"/>
      <c r="P1452" s="576"/>
      <c r="Q1452" s="576"/>
      <c r="R1452" s="576"/>
      <c r="S1452" s="318">
        <f t="shared" si="78"/>
        <v>150000</v>
      </c>
      <c r="T1452" s="358">
        <f t="shared" si="79"/>
        <v>-90000</v>
      </c>
      <c r="AM1452" s="259"/>
    </row>
    <row r="1453" spans="1:39 16369:16369" s="258" customFormat="1" ht="59.25" x14ac:dyDescent="0.45">
      <c r="A1453" s="543"/>
      <c r="B1453" s="388"/>
      <c r="C1453" s="125"/>
      <c r="D1453" s="126"/>
      <c r="E1453" s="513">
        <v>2018</v>
      </c>
      <c r="F1453" s="251">
        <v>5000</v>
      </c>
      <c r="G1453" s="576">
        <v>5000</v>
      </c>
      <c r="H1453" s="576">
        <v>5000</v>
      </c>
      <c r="I1453" s="576">
        <v>5000</v>
      </c>
      <c r="J1453" s="576">
        <v>5000</v>
      </c>
      <c r="K1453" s="576">
        <v>5000</v>
      </c>
      <c r="L1453" s="576"/>
      <c r="M1453" s="576"/>
      <c r="N1453" s="576"/>
      <c r="O1453" s="576"/>
      <c r="P1453" s="576"/>
      <c r="Q1453" s="576"/>
      <c r="R1453" s="576"/>
      <c r="S1453" s="318">
        <f t="shared" si="78"/>
        <v>25000</v>
      </c>
      <c r="T1453" s="358">
        <f t="shared" si="79"/>
        <v>35000</v>
      </c>
      <c r="AM1453" s="259"/>
    </row>
    <row r="1454" spans="1:39 16369:16369" s="258" customFormat="1" ht="59.25" x14ac:dyDescent="0.45">
      <c r="A1454" s="543"/>
      <c r="B1454" s="388"/>
      <c r="C1454" s="125"/>
      <c r="D1454" s="126"/>
      <c r="E1454" s="513">
        <v>2017</v>
      </c>
      <c r="F1454" s="251">
        <v>5000</v>
      </c>
      <c r="G1454" s="576"/>
      <c r="H1454" s="576"/>
      <c r="I1454" s="576"/>
      <c r="J1454" s="576"/>
      <c r="K1454" s="576"/>
      <c r="L1454" s="576"/>
      <c r="M1454" s="578"/>
      <c r="N1454" s="578"/>
      <c r="O1454" s="578"/>
      <c r="P1454" s="578"/>
      <c r="Q1454" s="578"/>
      <c r="R1454" s="578"/>
      <c r="S1454" s="318">
        <f t="shared" si="78"/>
        <v>0</v>
      </c>
      <c r="T1454" s="358">
        <f t="shared" si="79"/>
        <v>60000</v>
      </c>
      <c r="AM1454" s="259"/>
    </row>
    <row r="1455" spans="1:39 16369:16369" s="258" customFormat="1" ht="59.25" x14ac:dyDescent="0.45">
      <c r="A1455" s="543"/>
      <c r="B1455" s="388"/>
      <c r="C1455" s="125"/>
      <c r="D1455" s="126"/>
      <c r="E1455" s="513">
        <v>2016</v>
      </c>
      <c r="F1455" s="251">
        <v>5000</v>
      </c>
      <c r="G1455" s="579"/>
      <c r="H1455" s="579"/>
      <c r="I1455" s="579"/>
      <c r="J1455" s="579"/>
      <c r="K1455" s="579"/>
      <c r="L1455" s="579"/>
      <c r="M1455" s="579"/>
      <c r="N1455" s="579"/>
      <c r="O1455" s="579"/>
      <c r="P1455" s="579"/>
      <c r="Q1455" s="579"/>
      <c r="R1455" s="579"/>
      <c r="S1455" s="318">
        <f t="shared" si="78"/>
        <v>0</v>
      </c>
      <c r="T1455" s="358">
        <f t="shared" si="79"/>
        <v>60000</v>
      </c>
      <c r="AM1455" s="259"/>
    </row>
    <row r="1456" spans="1:39 16369:16369" s="258" customFormat="1" ht="59.25" x14ac:dyDescent="0.45">
      <c r="A1456" s="544"/>
      <c r="B1456" s="388"/>
      <c r="C1456" s="129"/>
      <c r="D1456" s="130"/>
      <c r="E1456" s="513">
        <v>2015</v>
      </c>
      <c r="F1456" s="251">
        <v>5000</v>
      </c>
      <c r="G1456" s="579"/>
      <c r="H1456" s="579"/>
      <c r="I1456" s="579"/>
      <c r="J1456" s="579"/>
      <c r="K1456" s="579"/>
      <c r="L1456" s="579"/>
      <c r="M1456" s="579"/>
      <c r="N1456" s="579"/>
      <c r="O1456" s="579"/>
      <c r="P1456" s="579"/>
      <c r="Q1456" s="579"/>
      <c r="R1456" s="579"/>
      <c r="S1456" s="318">
        <f t="shared" si="78"/>
        <v>0</v>
      </c>
      <c r="T1456" s="358">
        <f t="shared" si="79"/>
        <v>60000</v>
      </c>
      <c r="AM1456" s="259"/>
    </row>
    <row r="1457" spans="1:39" s="258" customFormat="1" ht="60" thickBot="1" x14ac:dyDescent="0.5">
      <c r="A1457" s="486"/>
      <c r="B1457" s="388"/>
      <c r="C1457" s="487"/>
      <c r="D1457" s="488"/>
      <c r="E1457" s="385"/>
      <c r="F1457" s="265"/>
      <c r="G1457" s="386"/>
      <c r="H1457" s="386"/>
      <c r="I1457" s="386"/>
      <c r="J1457" s="386"/>
      <c r="K1457" s="386"/>
      <c r="L1457" s="386"/>
      <c r="M1457" s="386"/>
      <c r="N1457" s="386"/>
      <c r="O1457" s="386"/>
      <c r="P1457" s="386"/>
      <c r="Q1457" s="386"/>
      <c r="R1457" s="386"/>
      <c r="S1457" s="387">
        <f>SUM(S1446:S1456)</f>
        <v>275000</v>
      </c>
      <c r="T1457" s="87">
        <f>SUM(T1446:T1456)</f>
        <v>445000</v>
      </c>
      <c r="AM1457" s="259"/>
    </row>
    <row r="1458" spans="1:39" s="258" customFormat="1" ht="59.25" x14ac:dyDescent="0.45">
      <c r="A1458" s="486"/>
      <c r="B1458" s="388"/>
      <c r="C1458" s="487"/>
      <c r="D1458" s="488"/>
      <c r="E1458" s="385"/>
      <c r="F1458" s="264"/>
      <c r="G1458" s="580"/>
      <c r="H1458" s="580"/>
      <c r="I1458" s="580"/>
      <c r="J1458" s="580"/>
      <c r="K1458" s="580"/>
      <c r="L1458" s="580"/>
      <c r="M1458" s="580"/>
      <c r="N1458" s="580"/>
      <c r="O1458" s="580"/>
      <c r="P1458" s="580"/>
      <c r="Q1458" s="580"/>
      <c r="R1458" s="580"/>
      <c r="S1458" s="581"/>
      <c r="T1458" s="581"/>
      <c r="AM1458" s="259"/>
    </row>
    <row r="1459" spans="1:39" s="258" customFormat="1" ht="52.5" customHeight="1" x14ac:dyDescent="0.45">
      <c r="A1459" s="486"/>
      <c r="B1459" s="388"/>
      <c r="C1459" s="487"/>
      <c r="D1459" s="488"/>
      <c r="E1459" s="385"/>
      <c r="F1459" s="264"/>
      <c r="G1459" s="484"/>
      <c r="H1459" s="484"/>
      <c r="I1459" s="484"/>
      <c r="J1459" s="484"/>
      <c r="K1459" s="484"/>
      <c r="L1459" s="484"/>
      <c r="M1459" s="484"/>
      <c r="N1459" s="484"/>
      <c r="O1459" s="484"/>
      <c r="P1459" s="484"/>
      <c r="Q1459" s="484"/>
      <c r="R1459" s="484"/>
      <c r="S1459" s="286"/>
      <c r="T1459" s="286"/>
      <c r="AM1459" s="259"/>
    </row>
    <row r="1460" spans="1:39" s="258" customFormat="1" ht="52.5" customHeight="1" x14ac:dyDescent="0.45">
      <c r="A1460" s="486"/>
      <c r="B1460" s="388"/>
      <c r="C1460" s="487"/>
      <c r="D1460" s="488"/>
      <c r="E1460" s="385"/>
      <c r="F1460" s="264"/>
      <c r="G1460" s="484"/>
      <c r="H1460" s="484"/>
      <c r="I1460" s="484"/>
      <c r="J1460" s="484"/>
      <c r="K1460" s="484"/>
      <c r="L1460" s="484"/>
      <c r="M1460" s="484"/>
      <c r="N1460" s="484"/>
      <c r="O1460" s="484"/>
      <c r="P1460" s="484"/>
      <c r="Q1460" s="484"/>
      <c r="R1460" s="484"/>
      <c r="S1460" s="286"/>
      <c r="T1460" s="286"/>
      <c r="AM1460" s="259"/>
    </row>
    <row r="1461" spans="1:39" s="374" customFormat="1" ht="52.5" customHeight="1" x14ac:dyDescent="0.4">
      <c r="A1461" s="368" t="s">
        <v>6</v>
      </c>
      <c r="B1461" s="368" t="s">
        <v>7</v>
      </c>
      <c r="C1461" s="369" t="s">
        <v>8</v>
      </c>
      <c r="D1461" s="370" t="s">
        <v>231</v>
      </c>
      <c r="E1461" s="371" t="s">
        <v>10</v>
      </c>
      <c r="F1461" s="372" t="s">
        <v>11</v>
      </c>
      <c r="G1461" s="476" t="s">
        <v>12</v>
      </c>
      <c r="H1461" s="476" t="s">
        <v>13</v>
      </c>
      <c r="I1461" s="476" t="s">
        <v>14</v>
      </c>
      <c r="J1461" s="476" t="s">
        <v>15</v>
      </c>
      <c r="K1461" s="476" t="s">
        <v>16</v>
      </c>
      <c r="L1461" s="476" t="s">
        <v>17</v>
      </c>
      <c r="M1461" s="476" t="s">
        <v>18</v>
      </c>
      <c r="N1461" s="476" t="s">
        <v>19</v>
      </c>
      <c r="O1461" s="476" t="s">
        <v>20</v>
      </c>
      <c r="P1461" s="476" t="s">
        <v>21</v>
      </c>
      <c r="Q1461" s="476" t="s">
        <v>22</v>
      </c>
      <c r="R1461" s="476" t="s">
        <v>23</v>
      </c>
      <c r="S1461" s="20" t="s">
        <v>24</v>
      </c>
      <c r="T1461" s="20" t="s">
        <v>25</v>
      </c>
      <c r="AM1461" s="375"/>
    </row>
    <row r="1462" spans="1:39" ht="51.75" customHeight="1" x14ac:dyDescent="0.25">
      <c r="A1462" s="533">
        <v>16</v>
      </c>
      <c r="B1462" s="17"/>
      <c r="C1462" s="377" t="s">
        <v>364</v>
      </c>
      <c r="D1462" s="19"/>
      <c r="E1462" s="26">
        <v>2025</v>
      </c>
      <c r="F1462" s="27">
        <v>10000</v>
      </c>
      <c r="G1462" s="22">
        <v>120000</v>
      </c>
      <c r="H1462" s="22"/>
      <c r="I1462" s="22"/>
      <c r="J1462" s="22"/>
      <c r="K1462" s="22"/>
      <c r="L1462" s="22"/>
      <c r="M1462" s="22"/>
      <c r="N1462" s="22"/>
      <c r="O1462" s="22"/>
      <c r="P1462" s="22"/>
      <c r="Q1462" s="22"/>
      <c r="R1462" s="22"/>
      <c r="S1462" s="64">
        <f t="shared" ref="S1462:S1472" si="80">SUM(G1462:R1462)</f>
        <v>120000</v>
      </c>
      <c r="T1462" s="29">
        <f>SUM(F1462*IF(E1462=_current_year,_current_month,12)-(S1462))</f>
        <v>0</v>
      </c>
    </row>
    <row r="1463" spans="1:39" ht="51.75" customHeight="1" x14ac:dyDescent="0.25">
      <c r="A1463" s="534"/>
      <c r="B1463" s="17"/>
      <c r="C1463" s="379"/>
      <c r="D1463" s="19"/>
      <c r="E1463" s="30">
        <v>2024</v>
      </c>
      <c r="F1463" s="27">
        <v>5000</v>
      </c>
      <c r="G1463" s="22">
        <v>60000</v>
      </c>
      <c r="H1463" s="22"/>
      <c r="I1463" s="22"/>
      <c r="J1463" s="22"/>
      <c r="K1463" s="22"/>
      <c r="L1463" s="22"/>
      <c r="M1463" s="22"/>
      <c r="N1463" s="22"/>
      <c r="O1463" s="22"/>
      <c r="P1463" s="22"/>
      <c r="Q1463" s="22"/>
      <c r="R1463" s="22"/>
      <c r="S1463" s="64">
        <f t="shared" si="80"/>
        <v>60000</v>
      </c>
      <c r="T1463" s="29">
        <f>SUM(F1463*IF(E1463=_current_year,_current_month,12)-(S1463))</f>
        <v>0</v>
      </c>
    </row>
    <row r="1464" spans="1:39" ht="51.75" customHeight="1" x14ac:dyDescent="0.25">
      <c r="A1464" s="534"/>
      <c r="B1464" s="17"/>
      <c r="C1464" s="379"/>
      <c r="D1464" s="19"/>
      <c r="E1464" s="30">
        <v>2023</v>
      </c>
      <c r="F1464" s="27">
        <v>5000</v>
      </c>
      <c r="G1464" s="22">
        <v>60000</v>
      </c>
      <c r="H1464" s="22"/>
      <c r="I1464" s="22"/>
      <c r="J1464" s="22"/>
      <c r="K1464" s="22"/>
      <c r="L1464" s="22"/>
      <c r="M1464" s="22"/>
      <c r="N1464" s="22"/>
      <c r="O1464" s="22"/>
      <c r="P1464" s="22"/>
      <c r="Q1464" s="22"/>
      <c r="R1464" s="22"/>
      <c r="S1464" s="37">
        <f t="shared" si="80"/>
        <v>60000</v>
      </c>
      <c r="T1464" s="22">
        <f>SUM(F1464*12)-(S1464)</f>
        <v>0</v>
      </c>
    </row>
    <row r="1465" spans="1:39" s="220" customFormat="1" ht="48" customHeight="1" x14ac:dyDescent="0.4">
      <c r="A1465" s="534"/>
      <c r="B1465" s="33" t="s">
        <v>28</v>
      </c>
      <c r="C1465" s="380"/>
      <c r="D1465" s="35"/>
      <c r="E1465" s="30">
        <v>2022</v>
      </c>
      <c r="F1465" s="251">
        <v>5000</v>
      </c>
      <c r="G1465" s="36">
        <v>60000</v>
      </c>
      <c r="H1465" s="36"/>
      <c r="I1465" s="36"/>
      <c r="J1465" s="36"/>
      <c r="K1465" s="36"/>
      <c r="L1465" s="36"/>
      <c r="M1465" s="36"/>
      <c r="N1465" s="36"/>
      <c r="O1465" s="36"/>
      <c r="P1465" s="36"/>
      <c r="Q1465" s="36"/>
      <c r="R1465" s="36"/>
      <c r="S1465" s="37">
        <f t="shared" si="80"/>
        <v>60000</v>
      </c>
      <c r="T1465" s="37">
        <f t="shared" ref="T1465:T1472" si="81">SUM(60000-S1465)</f>
        <v>0</v>
      </c>
      <c r="AM1465" s="250"/>
    </row>
    <row r="1466" spans="1:39" s="220" customFormat="1" ht="52.5" customHeight="1" x14ac:dyDescent="0.4">
      <c r="A1466" s="313" t="s">
        <v>311</v>
      </c>
      <c r="B1466" s="33" t="s">
        <v>28</v>
      </c>
      <c r="C1466" s="38" t="s">
        <v>52</v>
      </c>
      <c r="D1466" s="124"/>
      <c r="E1466" s="30">
        <v>2021</v>
      </c>
      <c r="F1466" s="251">
        <v>5000</v>
      </c>
      <c r="G1466" s="582">
        <v>60000</v>
      </c>
      <c r="H1466" s="482"/>
      <c r="I1466" s="482"/>
      <c r="J1466" s="482"/>
      <c r="K1466" s="482"/>
      <c r="L1466" s="482"/>
      <c r="M1466" s="482"/>
      <c r="N1466" s="482"/>
      <c r="O1466" s="482"/>
      <c r="P1466" s="482"/>
      <c r="Q1466" s="482"/>
      <c r="R1466" s="482"/>
      <c r="S1466" s="252">
        <f t="shared" si="80"/>
        <v>60000</v>
      </c>
      <c r="T1466" s="252">
        <f t="shared" si="81"/>
        <v>0</v>
      </c>
      <c r="AM1466" s="250"/>
    </row>
    <row r="1467" spans="1:39" s="258" customFormat="1" ht="52.5" customHeight="1" x14ac:dyDescent="0.45">
      <c r="A1467" s="313"/>
      <c r="B1467" s="381" t="s">
        <v>28</v>
      </c>
      <c r="C1467" s="125"/>
      <c r="D1467" s="126"/>
      <c r="E1467" s="513">
        <v>2020</v>
      </c>
      <c r="F1467" s="251">
        <v>5000</v>
      </c>
      <c r="G1467" s="582">
        <v>60000</v>
      </c>
      <c r="H1467" s="535"/>
      <c r="I1467" s="535"/>
      <c r="J1467" s="535"/>
      <c r="K1467" s="535"/>
      <c r="L1467" s="535"/>
      <c r="M1467" s="535"/>
      <c r="N1467" s="535"/>
      <c r="O1467" s="535"/>
      <c r="P1467" s="535"/>
      <c r="Q1467" s="535"/>
      <c r="R1467" s="535"/>
      <c r="S1467" s="252">
        <f t="shared" si="80"/>
        <v>60000</v>
      </c>
      <c r="T1467" s="257">
        <f t="shared" si="81"/>
        <v>0</v>
      </c>
      <c r="AM1467" s="259"/>
    </row>
    <row r="1468" spans="1:39" s="258" customFormat="1" ht="52.5" customHeight="1" x14ac:dyDescent="0.45">
      <c r="A1468" s="536"/>
      <c r="B1468" s="388"/>
      <c r="C1468" s="125"/>
      <c r="D1468" s="126"/>
      <c r="E1468" s="513">
        <v>2019</v>
      </c>
      <c r="F1468" s="251">
        <v>5000</v>
      </c>
      <c r="G1468" s="516">
        <v>5000</v>
      </c>
      <c r="H1468" s="516">
        <v>5000</v>
      </c>
      <c r="I1468" s="516">
        <v>5000</v>
      </c>
      <c r="J1468" s="516">
        <v>5000</v>
      </c>
      <c r="K1468" s="516">
        <v>5000</v>
      </c>
      <c r="L1468" s="516">
        <v>5000</v>
      </c>
      <c r="M1468" s="516">
        <v>5000</v>
      </c>
      <c r="N1468" s="516">
        <v>5000</v>
      </c>
      <c r="O1468" s="516">
        <v>5000</v>
      </c>
      <c r="P1468" s="516">
        <v>5000</v>
      </c>
      <c r="Q1468" s="516">
        <v>5000</v>
      </c>
      <c r="R1468" s="516">
        <f>28000+5000</f>
        <v>33000</v>
      </c>
      <c r="S1468" s="252">
        <f t="shared" si="80"/>
        <v>88000</v>
      </c>
      <c r="T1468" s="257">
        <f t="shared" si="81"/>
        <v>-28000</v>
      </c>
      <c r="AM1468" s="259"/>
    </row>
    <row r="1469" spans="1:39" s="258" customFormat="1" ht="52.5" customHeight="1" x14ac:dyDescent="0.45">
      <c r="A1469" s="543"/>
      <c r="B1469" s="388"/>
      <c r="C1469" s="125"/>
      <c r="D1469" s="126"/>
      <c r="E1469" s="513">
        <v>2018</v>
      </c>
      <c r="F1469" s="251">
        <v>5000</v>
      </c>
      <c r="G1469" s="516">
        <v>5000</v>
      </c>
      <c r="H1469" s="516">
        <v>5000</v>
      </c>
      <c r="I1469" s="516">
        <v>5000</v>
      </c>
      <c r="J1469" s="516">
        <v>5000</v>
      </c>
      <c r="K1469" s="516">
        <v>5000</v>
      </c>
      <c r="L1469" s="516">
        <v>5000</v>
      </c>
      <c r="M1469" s="516">
        <v>5000</v>
      </c>
      <c r="N1469" s="516">
        <v>5000</v>
      </c>
      <c r="O1469" s="516">
        <v>5000</v>
      </c>
      <c r="P1469" s="516">
        <v>5000</v>
      </c>
      <c r="Q1469" s="516">
        <v>5000</v>
      </c>
      <c r="R1469" s="516">
        <v>5000</v>
      </c>
      <c r="S1469" s="252">
        <f t="shared" si="80"/>
        <v>60000</v>
      </c>
      <c r="T1469" s="257">
        <f t="shared" si="81"/>
        <v>0</v>
      </c>
      <c r="AM1469" s="259"/>
    </row>
    <row r="1470" spans="1:39" s="258" customFormat="1" ht="52.5" customHeight="1" x14ac:dyDescent="0.45">
      <c r="A1470" s="543"/>
      <c r="B1470" s="388"/>
      <c r="C1470" s="125"/>
      <c r="D1470" s="126"/>
      <c r="E1470" s="513">
        <v>2017</v>
      </c>
      <c r="F1470" s="251">
        <v>5000</v>
      </c>
      <c r="G1470" s="516">
        <v>5000</v>
      </c>
      <c r="H1470" s="516">
        <v>5000</v>
      </c>
      <c r="I1470" s="516">
        <v>5000</v>
      </c>
      <c r="J1470" s="516">
        <v>5000</v>
      </c>
      <c r="K1470" s="516">
        <v>5000</v>
      </c>
      <c r="L1470" s="516">
        <v>5000</v>
      </c>
      <c r="M1470" s="516">
        <v>5000</v>
      </c>
      <c r="N1470" s="516">
        <v>5000</v>
      </c>
      <c r="O1470" s="516">
        <v>5000</v>
      </c>
      <c r="P1470" s="516">
        <v>5000</v>
      </c>
      <c r="Q1470" s="516">
        <v>5000</v>
      </c>
      <c r="R1470" s="516">
        <v>5000</v>
      </c>
      <c r="S1470" s="252">
        <f t="shared" si="80"/>
        <v>60000</v>
      </c>
      <c r="T1470" s="257">
        <f t="shared" si="81"/>
        <v>0</v>
      </c>
      <c r="AM1470" s="259"/>
    </row>
    <row r="1471" spans="1:39" s="258" customFormat="1" ht="52.5" customHeight="1" x14ac:dyDescent="0.45">
      <c r="A1471" s="543"/>
      <c r="B1471" s="388"/>
      <c r="C1471" s="125"/>
      <c r="D1471" s="126"/>
      <c r="E1471" s="513">
        <v>2016</v>
      </c>
      <c r="F1471" s="251">
        <v>5000</v>
      </c>
      <c r="G1471" s="516">
        <v>5000</v>
      </c>
      <c r="H1471" s="516">
        <v>5000</v>
      </c>
      <c r="I1471" s="516">
        <v>5000</v>
      </c>
      <c r="J1471" s="516">
        <v>5000</v>
      </c>
      <c r="K1471" s="516">
        <v>5000</v>
      </c>
      <c r="L1471" s="516">
        <v>5000</v>
      </c>
      <c r="M1471" s="516">
        <v>5000</v>
      </c>
      <c r="N1471" s="516">
        <v>5000</v>
      </c>
      <c r="O1471" s="516">
        <v>5000</v>
      </c>
      <c r="P1471" s="516">
        <v>5000</v>
      </c>
      <c r="Q1471" s="516">
        <v>5000</v>
      </c>
      <c r="R1471" s="516">
        <v>5000</v>
      </c>
      <c r="S1471" s="252">
        <f t="shared" si="80"/>
        <v>60000</v>
      </c>
      <c r="T1471" s="257">
        <f t="shared" si="81"/>
        <v>0</v>
      </c>
      <c r="AM1471" s="259"/>
    </row>
    <row r="1472" spans="1:39" s="258" customFormat="1" ht="52.5" customHeight="1" x14ac:dyDescent="0.45">
      <c r="A1472" s="544"/>
      <c r="B1472" s="388"/>
      <c r="C1472" s="129"/>
      <c r="D1472" s="130"/>
      <c r="E1472" s="513">
        <v>2015</v>
      </c>
      <c r="F1472" s="251">
        <v>5000</v>
      </c>
      <c r="G1472" s="516">
        <v>5000</v>
      </c>
      <c r="H1472" s="516">
        <v>5000</v>
      </c>
      <c r="I1472" s="516">
        <v>5000</v>
      </c>
      <c r="J1472" s="516">
        <v>5000</v>
      </c>
      <c r="K1472" s="516">
        <v>5000</v>
      </c>
      <c r="L1472" s="516">
        <v>5000</v>
      </c>
      <c r="M1472" s="516">
        <v>5000</v>
      </c>
      <c r="N1472" s="516">
        <v>5000</v>
      </c>
      <c r="O1472" s="516">
        <v>5000</v>
      </c>
      <c r="P1472" s="516">
        <v>5000</v>
      </c>
      <c r="Q1472" s="516">
        <v>5000</v>
      </c>
      <c r="R1472" s="516">
        <v>5000</v>
      </c>
      <c r="S1472" s="252">
        <f t="shared" si="80"/>
        <v>60000</v>
      </c>
      <c r="T1472" s="257">
        <f t="shared" si="81"/>
        <v>0</v>
      </c>
      <c r="AM1472" s="259"/>
    </row>
    <row r="1473" spans="1:39" s="258" customFormat="1" ht="52.5" customHeight="1" thickBot="1" x14ac:dyDescent="0.5">
      <c r="A1473" s="486"/>
      <c r="B1473" s="388"/>
      <c r="C1473" s="487"/>
      <c r="D1473" s="488"/>
      <c r="E1473" s="385"/>
      <c r="F1473" s="265"/>
      <c r="G1473" s="489"/>
      <c r="H1473" s="489"/>
      <c r="I1473" s="489"/>
      <c r="J1473" s="489"/>
      <c r="K1473" s="489"/>
      <c r="L1473" s="489"/>
      <c r="M1473" s="489"/>
      <c r="N1473" s="489"/>
      <c r="O1473" s="489"/>
      <c r="P1473" s="489"/>
      <c r="Q1473" s="489"/>
      <c r="R1473" s="489"/>
      <c r="S1473" s="178">
        <f>SUM(S1462:S1472)</f>
        <v>748000</v>
      </c>
      <c r="T1473" s="87">
        <f>SUM(T1462:T1472)</f>
        <v>-28000</v>
      </c>
      <c r="AM1473" s="259"/>
    </row>
    <row r="1474" spans="1:39" s="258" customFormat="1" ht="52.5" customHeight="1" x14ac:dyDescent="0.45">
      <c r="A1474" s="486"/>
      <c r="B1474" s="388"/>
      <c r="C1474" s="487"/>
      <c r="D1474" s="488"/>
      <c r="E1474" s="385"/>
      <c r="F1474" s="264"/>
      <c r="G1474" s="484"/>
      <c r="H1474" s="484"/>
      <c r="I1474" s="484"/>
      <c r="J1474" s="484"/>
      <c r="K1474" s="484"/>
      <c r="L1474" s="484"/>
      <c r="M1474" s="484"/>
      <c r="N1474" s="484"/>
      <c r="O1474" s="484"/>
      <c r="P1474" s="484"/>
      <c r="Q1474" s="484"/>
      <c r="R1474" s="484"/>
      <c r="S1474" s="517"/>
      <c r="T1474" s="517"/>
      <c r="AM1474" s="259"/>
    </row>
    <row r="1475" spans="1:39" s="374" customFormat="1" ht="52.5" customHeight="1" x14ac:dyDescent="0.4">
      <c r="A1475" s="368" t="s">
        <v>6</v>
      </c>
      <c r="B1475" s="368" t="s">
        <v>7</v>
      </c>
      <c r="C1475" s="369" t="s">
        <v>8</v>
      </c>
      <c r="D1475" s="370" t="s">
        <v>231</v>
      </c>
      <c r="E1475" s="371" t="s">
        <v>10</v>
      </c>
      <c r="F1475" s="372" t="s">
        <v>11</v>
      </c>
      <c r="G1475" s="476" t="s">
        <v>12</v>
      </c>
      <c r="H1475" s="476" t="s">
        <v>13</v>
      </c>
      <c r="I1475" s="476" t="s">
        <v>14</v>
      </c>
      <c r="J1475" s="476" t="s">
        <v>15</v>
      </c>
      <c r="K1475" s="476" t="s">
        <v>16</v>
      </c>
      <c r="L1475" s="476" t="s">
        <v>17</v>
      </c>
      <c r="M1475" s="476" t="s">
        <v>18</v>
      </c>
      <c r="N1475" s="476" t="s">
        <v>19</v>
      </c>
      <c r="O1475" s="476" t="s">
        <v>20</v>
      </c>
      <c r="P1475" s="476" t="s">
        <v>21</v>
      </c>
      <c r="Q1475" s="476" t="s">
        <v>22</v>
      </c>
      <c r="R1475" s="476" t="s">
        <v>23</v>
      </c>
      <c r="S1475" s="20" t="s">
        <v>24</v>
      </c>
      <c r="T1475" s="20" t="s">
        <v>25</v>
      </c>
      <c r="AM1475" s="375"/>
    </row>
    <row r="1476" spans="1:39" ht="73.5" x14ac:dyDescent="0.6">
      <c r="A1476" s="583" t="s">
        <v>365</v>
      </c>
      <c r="B1476" s="17"/>
      <c r="C1476" s="584" t="s">
        <v>366</v>
      </c>
      <c r="D1476" s="19"/>
      <c r="E1476" s="26">
        <v>2025</v>
      </c>
      <c r="F1476" s="251">
        <v>5000</v>
      </c>
      <c r="G1476" s="189"/>
      <c r="H1476" s="22">
        <v>10000</v>
      </c>
      <c r="I1476" s="22"/>
      <c r="J1476" s="22"/>
      <c r="K1476" s="22">
        <v>10000</v>
      </c>
      <c r="L1476" s="22"/>
      <c r="M1476" s="22">
        <v>15000</v>
      </c>
      <c r="N1476" s="22"/>
      <c r="O1476" s="22">
        <v>10000</v>
      </c>
      <c r="P1476" s="22"/>
      <c r="Q1476" s="22"/>
      <c r="R1476" s="22"/>
      <c r="S1476" s="64">
        <f>SUM(G1476:R1476)</f>
        <v>45000</v>
      </c>
      <c r="T1476" s="29">
        <f>SUM(F1476*IF(E1476=_current_year,_current_month,12)-(S1476))</f>
        <v>15000</v>
      </c>
    </row>
    <row r="1477" spans="1:39" x14ac:dyDescent="0.6">
      <c r="A1477" s="585"/>
      <c r="B1477" s="17"/>
      <c r="C1477" s="584"/>
      <c r="D1477" s="19"/>
      <c r="E1477" s="30">
        <v>2024</v>
      </c>
      <c r="F1477" s="251">
        <v>3000</v>
      </c>
      <c r="G1477" s="189"/>
      <c r="H1477" s="22">
        <v>36000</v>
      </c>
      <c r="I1477" s="22"/>
      <c r="J1477" s="22"/>
      <c r="K1477" s="22"/>
      <c r="L1477" s="22"/>
      <c r="M1477" s="22"/>
      <c r="N1477" s="22"/>
      <c r="O1477" s="22"/>
      <c r="P1477" s="22"/>
      <c r="Q1477" s="22"/>
      <c r="R1477" s="22"/>
      <c r="S1477" s="37">
        <f>SUM(G1477:R1477)</f>
        <v>36000</v>
      </c>
      <c r="T1477" s="22">
        <f>SUM(F1477*IF(E1477=_current_year,_current_month,12)-(S1477))</f>
        <v>0</v>
      </c>
    </row>
    <row r="1478" spans="1:39" ht="51.75" customHeight="1" x14ac:dyDescent="0.25">
      <c r="A1478" s="585"/>
      <c r="B1478" s="17"/>
      <c r="C1478" s="571"/>
      <c r="D1478" s="19"/>
      <c r="E1478" s="30">
        <v>2023</v>
      </c>
      <c r="F1478" s="251">
        <v>3000</v>
      </c>
      <c r="G1478" s="22"/>
      <c r="H1478" s="22">
        <v>9000</v>
      </c>
      <c r="I1478" s="22"/>
      <c r="J1478" s="22"/>
      <c r="K1478" s="22"/>
      <c r="L1478" s="22">
        <v>6000</v>
      </c>
      <c r="M1478" s="22"/>
      <c r="N1478" s="22">
        <v>9000</v>
      </c>
      <c r="O1478" s="22"/>
      <c r="P1478" s="22"/>
      <c r="Q1478" s="22"/>
      <c r="R1478" s="22">
        <v>12000</v>
      </c>
      <c r="S1478" s="37">
        <f>SUM(G1478:R1478)</f>
        <v>36000</v>
      </c>
      <c r="T1478" s="22">
        <f>SUM(F1478*IF(E1478=_current_year,_current_month,12)-(S1478))</f>
        <v>0</v>
      </c>
    </row>
    <row r="1479" spans="1:39" s="220" customFormat="1" ht="48" customHeight="1" x14ac:dyDescent="0.4">
      <c r="A1479" s="585"/>
      <c r="B1479" s="33" t="s">
        <v>28</v>
      </c>
      <c r="C1479" s="34"/>
      <c r="D1479" s="35"/>
      <c r="E1479" s="30">
        <v>2022</v>
      </c>
      <c r="F1479" s="251">
        <v>3000</v>
      </c>
      <c r="G1479" s="36"/>
      <c r="H1479" s="36"/>
      <c r="I1479" s="60"/>
      <c r="J1479" s="36">
        <v>6000</v>
      </c>
      <c r="K1479" s="36"/>
      <c r="L1479" s="36">
        <v>6000</v>
      </c>
      <c r="M1479" s="36"/>
      <c r="N1479" s="36">
        <v>6000</v>
      </c>
      <c r="O1479" s="36"/>
      <c r="P1479" s="36">
        <v>9000</v>
      </c>
      <c r="Q1479" s="36"/>
      <c r="R1479" s="36"/>
      <c r="S1479" s="37">
        <f>SUM(J1479:R1479)</f>
        <v>27000</v>
      </c>
      <c r="T1479" s="37">
        <f>SUM(27000-S1479)</f>
        <v>0</v>
      </c>
      <c r="AM1479" s="250"/>
    </row>
    <row r="1480" spans="1:39" s="258" customFormat="1" ht="52.5" customHeight="1" x14ac:dyDescent="0.45">
      <c r="A1480" s="313" t="s">
        <v>311</v>
      </c>
      <c r="B1480" s="381" t="s">
        <v>28</v>
      </c>
      <c r="C1480" s="80" t="s">
        <v>52</v>
      </c>
      <c r="D1480" s="80"/>
      <c r="E1480" s="111"/>
      <c r="F1480" s="92"/>
      <c r="G1480" s="92"/>
      <c r="H1480" s="92"/>
      <c r="I1480" s="92"/>
      <c r="J1480" s="92"/>
      <c r="K1480" s="92"/>
      <c r="L1480" s="92"/>
      <c r="M1480" s="92"/>
      <c r="N1480" s="92"/>
      <c r="O1480" s="92"/>
      <c r="P1480" s="92"/>
      <c r="Q1480" s="92"/>
      <c r="R1480" s="92"/>
      <c r="S1480" s="92"/>
      <c r="T1480" s="112"/>
      <c r="AM1480" s="259"/>
    </row>
    <row r="1481" spans="1:39" s="258" customFormat="1" ht="52.5" customHeight="1" x14ac:dyDescent="0.45">
      <c r="A1481" s="313"/>
      <c r="B1481" s="388"/>
      <c r="C1481" s="82"/>
      <c r="D1481" s="82"/>
      <c r="E1481" s="111"/>
      <c r="F1481" s="92"/>
      <c r="G1481" s="92"/>
      <c r="H1481" s="92"/>
      <c r="I1481" s="92"/>
      <c r="J1481" s="92"/>
      <c r="K1481" s="92"/>
      <c r="L1481" s="92"/>
      <c r="M1481" s="92"/>
      <c r="N1481" s="92"/>
      <c r="O1481" s="92"/>
      <c r="P1481" s="92"/>
      <c r="Q1481" s="92"/>
      <c r="R1481" s="92"/>
      <c r="S1481" s="92"/>
      <c r="T1481" s="112"/>
      <c r="AM1481" s="259"/>
    </row>
    <row r="1482" spans="1:39" s="258" customFormat="1" ht="52.5" customHeight="1" thickBot="1" x14ac:dyDescent="0.5">
      <c r="A1482" s="486"/>
      <c r="B1482" s="388"/>
      <c r="C1482" s="82"/>
      <c r="D1482" s="82"/>
      <c r="E1482" s="385"/>
      <c r="F1482" s="265"/>
      <c r="G1482" s="489"/>
      <c r="H1482" s="489"/>
      <c r="I1482" s="489"/>
      <c r="J1482" s="489"/>
      <c r="K1482" s="489"/>
      <c r="L1482" s="489"/>
      <c r="M1482" s="489"/>
      <c r="N1482" s="489"/>
      <c r="O1482" s="489"/>
      <c r="P1482" s="489"/>
      <c r="Q1482" s="489"/>
      <c r="R1482" s="489"/>
      <c r="S1482" s="178">
        <f>SUM(S1476:S1481)</f>
        <v>144000</v>
      </c>
      <c r="T1482" s="87">
        <f>SUM(T1476:T1481)</f>
        <v>15000</v>
      </c>
      <c r="AM1482" s="259"/>
    </row>
    <row r="1483" spans="1:39" s="258" customFormat="1" ht="52.5" customHeight="1" x14ac:dyDescent="0.75">
      <c r="A1483" s="382"/>
      <c r="B1483" s="381"/>
      <c r="C1483" s="383"/>
      <c r="D1483" s="384"/>
      <c r="F1483" s="253"/>
      <c r="G1483" s="512"/>
      <c r="H1483" s="512"/>
      <c r="I1483" s="512"/>
      <c r="J1483" s="512"/>
      <c r="K1483" s="512"/>
      <c r="L1483" s="512"/>
      <c r="M1483" s="512"/>
      <c r="N1483" s="512"/>
      <c r="O1483" s="512"/>
      <c r="P1483" s="512"/>
      <c r="Q1483" s="512"/>
      <c r="R1483" s="512"/>
      <c r="S1483" s="269"/>
      <c r="T1483" s="269"/>
      <c r="AM1483" s="259"/>
    </row>
    <row r="1484" spans="1:39" s="374" customFormat="1" ht="52.5" customHeight="1" x14ac:dyDescent="0.4">
      <c r="A1484" s="368" t="s">
        <v>6</v>
      </c>
      <c r="B1484" s="368" t="s">
        <v>7</v>
      </c>
      <c r="C1484" s="369" t="s">
        <v>8</v>
      </c>
      <c r="D1484" s="370" t="s">
        <v>231</v>
      </c>
      <c r="E1484" s="371" t="s">
        <v>10</v>
      </c>
      <c r="F1484" s="372" t="s">
        <v>11</v>
      </c>
      <c r="G1484" s="476" t="s">
        <v>12</v>
      </c>
      <c r="H1484" s="476" t="s">
        <v>13</v>
      </c>
      <c r="I1484" s="476" t="s">
        <v>14</v>
      </c>
      <c r="J1484" s="476" t="s">
        <v>15</v>
      </c>
      <c r="K1484" s="476" t="s">
        <v>16</v>
      </c>
      <c r="L1484" s="476" t="s">
        <v>17</v>
      </c>
      <c r="M1484" s="476" t="s">
        <v>18</v>
      </c>
      <c r="N1484" s="476" t="s">
        <v>19</v>
      </c>
      <c r="O1484" s="476" t="s">
        <v>20</v>
      </c>
      <c r="P1484" s="476" t="s">
        <v>21</v>
      </c>
      <c r="Q1484" s="476" t="s">
        <v>22</v>
      </c>
      <c r="R1484" s="476" t="s">
        <v>23</v>
      </c>
      <c r="S1484" s="20" t="s">
        <v>24</v>
      </c>
      <c r="T1484" s="20" t="s">
        <v>25</v>
      </c>
      <c r="AM1484" s="375"/>
    </row>
    <row r="1485" spans="1:39" ht="51.75" customHeight="1" x14ac:dyDescent="0.25">
      <c r="A1485" s="586" t="s">
        <v>367</v>
      </c>
      <c r="B1485" s="17"/>
      <c r="C1485" s="587" t="s">
        <v>368</v>
      </c>
      <c r="D1485" s="19"/>
      <c r="E1485" s="26">
        <v>2025</v>
      </c>
      <c r="F1485" s="251">
        <v>5000</v>
      </c>
      <c r="G1485" s="22">
        <v>18000</v>
      </c>
      <c r="H1485" s="153"/>
      <c r="I1485" s="153"/>
      <c r="J1485" s="22">
        <v>20000</v>
      </c>
      <c r="K1485" s="153"/>
      <c r="L1485" s="22">
        <v>15000</v>
      </c>
      <c r="M1485" s="22"/>
      <c r="N1485" s="22"/>
      <c r="O1485" s="22">
        <v>10000</v>
      </c>
      <c r="P1485" s="22"/>
      <c r="Q1485" s="22"/>
      <c r="R1485" s="22"/>
      <c r="S1485" s="64">
        <f>SUM(G1485:R1485)</f>
        <v>63000</v>
      </c>
      <c r="T1485" s="29">
        <f>SUM(F1485*IF(E1485=_current_year,_current_month,12)-(S1485))</f>
        <v>-3000</v>
      </c>
    </row>
    <row r="1486" spans="1:39" ht="51.75" customHeight="1" x14ac:dyDescent="0.25">
      <c r="A1486" s="588"/>
      <c r="B1486" s="17"/>
      <c r="C1486" s="589"/>
      <c r="D1486" s="19"/>
      <c r="E1486" s="30">
        <v>2024</v>
      </c>
      <c r="F1486" s="251">
        <v>3000</v>
      </c>
      <c r="G1486" s="22">
        <v>9000</v>
      </c>
      <c r="H1486" s="22"/>
      <c r="I1486" s="22"/>
      <c r="J1486" s="22">
        <v>9000</v>
      </c>
      <c r="K1486" s="22"/>
      <c r="L1486" s="22"/>
      <c r="M1486" s="22"/>
      <c r="N1486" s="22"/>
      <c r="O1486" s="22"/>
      <c r="P1486" s="22">
        <v>6000</v>
      </c>
      <c r="Q1486" s="22"/>
      <c r="R1486" s="22"/>
      <c r="S1486" s="37">
        <f>SUM(G1486:R1486)</f>
        <v>24000</v>
      </c>
      <c r="T1486" s="22">
        <f>SUM(F1486*IF(E1486=_current_year,_current_month,12)-(S1486))</f>
        <v>12000</v>
      </c>
    </row>
    <row r="1487" spans="1:39" ht="51.75" customHeight="1" x14ac:dyDescent="0.6">
      <c r="A1487" s="588"/>
      <c r="B1487" s="17"/>
      <c r="C1487" s="590" t="s">
        <v>369</v>
      </c>
      <c r="D1487" s="19"/>
      <c r="E1487" s="30">
        <v>2023</v>
      </c>
      <c r="F1487" s="251">
        <v>3000</v>
      </c>
      <c r="G1487" s="22"/>
      <c r="H1487" s="22"/>
      <c r="I1487" s="22"/>
      <c r="J1487" s="22"/>
      <c r="K1487" s="22"/>
      <c r="L1487" s="22"/>
      <c r="M1487" s="22">
        <v>9000</v>
      </c>
      <c r="N1487" s="22">
        <v>9000</v>
      </c>
      <c r="O1487" s="22"/>
      <c r="P1487" s="22"/>
      <c r="Q1487" s="22">
        <v>9000</v>
      </c>
      <c r="S1487" s="37">
        <f>SUM(G1487:R1487)</f>
        <v>27000</v>
      </c>
      <c r="T1487" s="22">
        <f>SUM(F1487*12)-(S1487)</f>
        <v>9000</v>
      </c>
    </row>
    <row r="1488" spans="1:39" s="220" customFormat="1" ht="48" customHeight="1" x14ac:dyDescent="0.4">
      <c r="A1488" s="588"/>
      <c r="B1488" s="33" t="s">
        <v>28</v>
      </c>
      <c r="C1488" s="142" t="s">
        <v>370</v>
      </c>
      <c r="D1488" s="35"/>
      <c r="E1488" s="30">
        <v>2022</v>
      </c>
      <c r="F1488" s="251">
        <v>3000</v>
      </c>
      <c r="G1488" s="516"/>
      <c r="H1488" s="516"/>
      <c r="I1488" s="516"/>
      <c r="J1488" s="516"/>
      <c r="K1488" s="36">
        <v>36000</v>
      </c>
      <c r="L1488" s="60"/>
      <c r="M1488" s="36"/>
      <c r="N1488" s="36"/>
      <c r="O1488" s="36"/>
      <c r="P1488" s="36"/>
      <c r="Q1488" s="36"/>
      <c r="R1488" s="36"/>
      <c r="S1488" s="37">
        <f>SUM(K1488:R1488)</f>
        <v>36000</v>
      </c>
      <c r="T1488" s="37">
        <f>SUM(18000-S1488)</f>
        <v>-18000</v>
      </c>
      <c r="AM1488" s="250"/>
    </row>
    <row r="1489" spans="1:39" s="220" customFormat="1" ht="52.5" customHeight="1" x14ac:dyDescent="0.4">
      <c r="A1489" s="588"/>
      <c r="B1489" s="339" t="s">
        <v>28</v>
      </c>
      <c r="C1489" s="38" t="s">
        <v>52</v>
      </c>
      <c r="D1489" s="124"/>
      <c r="E1489" s="591"/>
      <c r="F1489" s="302"/>
      <c r="G1489" s="516"/>
      <c r="H1489" s="516"/>
      <c r="I1489" s="516"/>
      <c r="J1489" s="516"/>
      <c r="K1489" s="516"/>
      <c r="L1489" s="516"/>
      <c r="M1489" s="516"/>
      <c r="N1489" s="516"/>
      <c r="O1489" s="516"/>
      <c r="P1489" s="516"/>
      <c r="Q1489" s="516"/>
      <c r="R1489" s="516"/>
      <c r="S1489" s="257"/>
      <c r="T1489" s="257"/>
      <c r="AM1489" s="250"/>
    </row>
    <row r="1490" spans="1:39" s="258" customFormat="1" ht="52.5" customHeight="1" x14ac:dyDescent="0.45">
      <c r="A1490" s="313" t="s">
        <v>311</v>
      </c>
      <c r="B1490" s="592" t="s">
        <v>28</v>
      </c>
      <c r="C1490" s="125"/>
      <c r="D1490" s="126"/>
      <c r="E1490" s="541"/>
      <c r="F1490" s="302"/>
      <c r="G1490" s="516"/>
      <c r="H1490" s="516"/>
      <c r="I1490" s="516"/>
      <c r="J1490" s="516"/>
      <c r="K1490" s="516"/>
      <c r="L1490" s="516"/>
      <c r="M1490" s="516"/>
      <c r="N1490" s="516"/>
      <c r="O1490" s="516"/>
      <c r="P1490" s="516"/>
      <c r="Q1490" s="516"/>
      <c r="R1490" s="516"/>
      <c r="S1490" s="257"/>
      <c r="T1490" s="257"/>
      <c r="AM1490" s="259"/>
    </row>
    <row r="1491" spans="1:39" s="258" customFormat="1" ht="52.5" customHeight="1" x14ac:dyDescent="0.45">
      <c r="A1491" s="313"/>
      <c r="B1491" s="381"/>
      <c r="C1491" s="125"/>
      <c r="D1491" s="126"/>
      <c r="E1491" s="593"/>
      <c r="F1491" s="593"/>
      <c r="G1491" s="593"/>
      <c r="H1491" s="593"/>
      <c r="I1491" s="593"/>
      <c r="J1491" s="593"/>
      <c r="K1491" s="593"/>
      <c r="L1491" s="593"/>
      <c r="M1491" s="593"/>
      <c r="N1491" s="593"/>
      <c r="O1491" s="593"/>
      <c r="P1491" s="593"/>
      <c r="Q1491" s="593"/>
      <c r="R1491" s="593"/>
      <c r="S1491" s="593"/>
      <c r="T1491" s="594"/>
      <c r="AM1491" s="259"/>
    </row>
    <row r="1492" spans="1:39" s="258" customFormat="1" ht="52.5" customHeight="1" x14ac:dyDescent="0.45">
      <c r="A1492" s="595"/>
      <c r="B1492" s="381"/>
      <c r="C1492" s="125"/>
      <c r="D1492" s="126"/>
      <c r="E1492" s="596"/>
      <c r="F1492" s="596"/>
      <c r="G1492" s="596"/>
      <c r="H1492" s="596"/>
      <c r="I1492" s="596"/>
      <c r="J1492" s="596"/>
      <c r="K1492" s="596"/>
      <c r="L1492" s="596"/>
      <c r="M1492" s="596"/>
      <c r="N1492" s="596"/>
      <c r="O1492" s="596"/>
      <c r="P1492" s="596"/>
      <c r="Q1492" s="596"/>
      <c r="R1492" s="596"/>
      <c r="S1492" s="596"/>
      <c r="T1492" s="597"/>
      <c r="AM1492" s="259"/>
    </row>
    <row r="1493" spans="1:39" s="258" customFormat="1" ht="52.5" customHeight="1" thickBot="1" x14ac:dyDescent="0.8">
      <c r="A1493" s="382"/>
      <c r="B1493" s="381"/>
      <c r="C1493" s="129"/>
      <c r="D1493" s="130"/>
      <c r="E1493" s="385"/>
      <c r="F1493" s="265"/>
      <c r="G1493" s="489"/>
      <c r="H1493" s="489"/>
      <c r="I1493" s="489"/>
      <c r="J1493" s="489"/>
      <c r="K1493" s="489"/>
      <c r="L1493" s="489"/>
      <c r="M1493" s="489"/>
      <c r="N1493" s="489"/>
      <c r="O1493" s="489"/>
      <c r="P1493" s="489"/>
      <c r="Q1493" s="489"/>
      <c r="R1493" s="489"/>
      <c r="S1493" s="178">
        <f>SUM(S1485:S1492)</f>
        <v>150000</v>
      </c>
      <c r="T1493" s="87">
        <f>SUM(T1485:T1492)</f>
        <v>0</v>
      </c>
      <c r="AM1493" s="259"/>
    </row>
    <row r="1494" spans="1:39" s="258" customFormat="1" ht="52.5" customHeight="1" x14ac:dyDescent="0.75">
      <c r="A1494" s="382"/>
      <c r="B1494" s="381"/>
      <c r="C1494" s="383"/>
      <c r="D1494" s="384"/>
      <c r="F1494" s="253"/>
      <c r="G1494" s="512"/>
      <c r="H1494" s="512"/>
      <c r="I1494" s="512"/>
      <c r="J1494" s="512"/>
      <c r="K1494" s="512"/>
      <c r="L1494" s="512"/>
      <c r="M1494" s="512"/>
      <c r="N1494" s="512"/>
      <c r="O1494" s="512"/>
      <c r="P1494" s="512"/>
      <c r="Q1494" s="512"/>
      <c r="R1494" s="512"/>
      <c r="S1494" s="269"/>
      <c r="T1494" s="269"/>
      <c r="AM1494" s="259"/>
    </row>
    <row r="1495" spans="1:39" s="374" customFormat="1" ht="52.5" customHeight="1" x14ac:dyDescent="0.4">
      <c r="A1495" s="368" t="s">
        <v>6</v>
      </c>
      <c r="B1495" s="368" t="s">
        <v>7</v>
      </c>
      <c r="C1495" s="369" t="s">
        <v>8</v>
      </c>
      <c r="D1495" s="370" t="s">
        <v>231</v>
      </c>
      <c r="E1495" s="371" t="s">
        <v>10</v>
      </c>
      <c r="F1495" s="372" t="s">
        <v>11</v>
      </c>
      <c r="G1495" s="476" t="s">
        <v>12</v>
      </c>
      <c r="H1495" s="476" t="s">
        <v>13</v>
      </c>
      <c r="I1495" s="476" t="s">
        <v>14</v>
      </c>
      <c r="J1495" s="476" t="s">
        <v>15</v>
      </c>
      <c r="K1495" s="476" t="s">
        <v>16</v>
      </c>
      <c r="L1495" s="476" t="s">
        <v>17</v>
      </c>
      <c r="M1495" s="476" t="s">
        <v>18</v>
      </c>
      <c r="N1495" s="476" t="s">
        <v>19</v>
      </c>
      <c r="O1495" s="476" t="s">
        <v>20</v>
      </c>
      <c r="P1495" s="476" t="s">
        <v>21</v>
      </c>
      <c r="Q1495" s="476" t="s">
        <v>22</v>
      </c>
      <c r="R1495" s="476" t="s">
        <v>23</v>
      </c>
      <c r="S1495" s="20" t="s">
        <v>24</v>
      </c>
      <c r="T1495" s="20" t="s">
        <v>25</v>
      </c>
      <c r="AM1495" s="375"/>
    </row>
    <row r="1496" spans="1:39" ht="51.75" customHeight="1" x14ac:dyDescent="0.25">
      <c r="A1496" s="586" t="s">
        <v>371</v>
      </c>
      <c r="B1496" s="17"/>
      <c r="C1496" s="377" t="s">
        <v>372</v>
      </c>
      <c r="D1496" s="19"/>
      <c r="E1496" s="26">
        <v>2025</v>
      </c>
      <c r="F1496" s="27">
        <v>5000</v>
      </c>
      <c r="G1496" s="22"/>
      <c r="H1496" s="22"/>
      <c r="I1496" s="22"/>
      <c r="J1496" s="22"/>
      <c r="K1496" s="22"/>
      <c r="L1496" s="22"/>
      <c r="M1496" s="22"/>
      <c r="N1496" s="22"/>
      <c r="O1496" s="22"/>
      <c r="P1496" s="22"/>
      <c r="Q1496" s="22"/>
      <c r="R1496" s="22"/>
      <c r="S1496" s="64">
        <f>SUM(G1496:R1496)</f>
        <v>0</v>
      </c>
      <c r="T1496" s="29">
        <f>SUM(F1496*IF(E1496=_current_year,_current_month,12)-(S1496))</f>
        <v>60000</v>
      </c>
    </row>
    <row r="1497" spans="1:39" ht="51.75" customHeight="1" x14ac:dyDescent="0.25">
      <c r="A1497" s="588"/>
      <c r="B1497" s="17"/>
      <c r="C1497" s="379"/>
      <c r="D1497" s="19"/>
      <c r="E1497" s="30">
        <v>2024</v>
      </c>
      <c r="F1497" s="27">
        <v>3000</v>
      </c>
      <c r="G1497" s="22"/>
      <c r="H1497" s="22"/>
      <c r="I1497" s="22"/>
      <c r="J1497" s="22"/>
      <c r="K1497" s="22"/>
      <c r="L1497" s="22"/>
      <c r="M1497" s="22"/>
      <c r="N1497" s="22"/>
      <c r="O1497" s="22"/>
      <c r="P1497" s="22"/>
      <c r="Q1497" s="22"/>
      <c r="R1497" s="22"/>
      <c r="S1497" s="37">
        <f>SUM(G1497:R1497)</f>
        <v>0</v>
      </c>
      <c r="T1497" s="22">
        <f>SUM(F1497*IF(E1497=_current_year,_current_month,12)-(S1497))</f>
        <v>36000</v>
      </c>
    </row>
    <row r="1498" spans="1:39" ht="51.75" customHeight="1" x14ac:dyDescent="0.25">
      <c r="A1498" s="588"/>
      <c r="B1498" s="17"/>
      <c r="C1498" s="380"/>
      <c r="D1498" s="19"/>
      <c r="E1498" s="30">
        <v>2023</v>
      </c>
      <c r="F1498" s="27">
        <v>3000</v>
      </c>
      <c r="G1498" s="22"/>
      <c r="H1498" s="22"/>
      <c r="I1498" s="22"/>
      <c r="J1498" s="22"/>
      <c r="K1498" s="22"/>
      <c r="L1498" s="22"/>
      <c r="M1498" s="22"/>
      <c r="N1498" s="22"/>
      <c r="O1498" s="22"/>
      <c r="P1498" s="22"/>
      <c r="Q1498" s="22"/>
      <c r="R1498" s="22"/>
      <c r="S1498" s="37">
        <f>SUM(G1498:R1498)</f>
        <v>0</v>
      </c>
      <c r="T1498" s="22">
        <f>SUM(F1498*IF(E1498=_current_year,_current_month,12)-(S1498))</f>
        <v>36000</v>
      </c>
    </row>
    <row r="1499" spans="1:39" s="220" customFormat="1" ht="48" customHeight="1" x14ac:dyDescent="0.4">
      <c r="A1499" s="588"/>
      <c r="B1499" s="33" t="s">
        <v>28</v>
      </c>
      <c r="C1499" s="34"/>
      <c r="D1499" s="35"/>
      <c r="E1499" s="30">
        <v>2022</v>
      </c>
      <c r="F1499" s="27">
        <v>3000</v>
      </c>
      <c r="G1499" s="36"/>
      <c r="H1499" s="36">
        <v>42000</v>
      </c>
      <c r="I1499" s="36"/>
      <c r="J1499" s="36"/>
      <c r="K1499" s="36"/>
      <c r="L1499" s="36"/>
      <c r="M1499" s="36"/>
      <c r="N1499" s="36"/>
      <c r="O1499" s="36"/>
      <c r="P1499" s="36"/>
      <c r="Q1499" s="36"/>
      <c r="R1499" s="36"/>
      <c r="S1499" s="37">
        <f>SUM(G1499:R1499)</f>
        <v>42000</v>
      </c>
      <c r="T1499" s="37">
        <f>SUM(36000-S1499)</f>
        <v>-6000</v>
      </c>
      <c r="AM1499" s="250"/>
    </row>
    <row r="1500" spans="1:39" s="220" customFormat="1" ht="52.5" customHeight="1" x14ac:dyDescent="0.4">
      <c r="A1500" s="588"/>
      <c r="B1500" s="33" t="s">
        <v>28</v>
      </c>
      <c r="C1500" s="38" t="s">
        <v>52</v>
      </c>
      <c r="D1500" s="124"/>
      <c r="E1500" s="30">
        <v>2021</v>
      </c>
      <c r="F1500" s="27">
        <v>3000</v>
      </c>
      <c r="G1500" s="482"/>
      <c r="H1500" s="482"/>
      <c r="I1500" s="482"/>
      <c r="J1500" s="482"/>
      <c r="K1500" s="482"/>
      <c r="L1500" s="482"/>
      <c r="M1500" s="482"/>
      <c r="N1500" s="482"/>
      <c r="O1500" s="482"/>
      <c r="P1500" s="516"/>
      <c r="Q1500" s="482"/>
      <c r="R1500" s="482"/>
      <c r="S1500" s="252">
        <f>SUM(G1500:R1500)</f>
        <v>0</v>
      </c>
      <c r="T1500" s="252">
        <f>SUM(36000-S1500)</f>
        <v>36000</v>
      </c>
      <c r="AM1500" s="250"/>
    </row>
    <row r="1501" spans="1:39" s="258" customFormat="1" ht="52.5" customHeight="1" x14ac:dyDescent="0.45">
      <c r="A1501" s="313" t="s">
        <v>311</v>
      </c>
      <c r="B1501" s="592" t="s">
        <v>28</v>
      </c>
      <c r="C1501" s="125"/>
      <c r="D1501" s="126"/>
      <c r="E1501" s="513">
        <v>2020</v>
      </c>
      <c r="F1501" s="27">
        <v>3000</v>
      </c>
      <c r="G1501" s="516"/>
      <c r="H1501" s="516"/>
      <c r="I1501" s="516"/>
      <c r="J1501" s="516"/>
      <c r="K1501" s="516"/>
      <c r="L1501" s="516"/>
      <c r="M1501" s="516"/>
      <c r="N1501" s="516"/>
      <c r="O1501" s="516"/>
      <c r="P1501" s="553"/>
      <c r="Q1501" s="482"/>
      <c r="R1501" s="482"/>
      <c r="S1501" s="252">
        <f>SUM(Q1501:R1501)</f>
        <v>0</v>
      </c>
      <c r="T1501" s="252">
        <f>SUM(6000-S1501)</f>
        <v>6000</v>
      </c>
      <c r="AM1501" s="259"/>
    </row>
    <row r="1502" spans="1:39" s="258" customFormat="1" ht="52.5" customHeight="1" x14ac:dyDescent="0.45">
      <c r="A1502" s="313"/>
      <c r="B1502" s="381"/>
      <c r="C1502" s="125"/>
      <c r="D1502" s="126"/>
      <c r="E1502" s="513"/>
      <c r="F1502" s="251"/>
      <c r="G1502" s="516"/>
      <c r="H1502" s="516"/>
      <c r="I1502" s="516"/>
      <c r="J1502" s="516"/>
      <c r="K1502" s="516"/>
      <c r="L1502" s="516"/>
      <c r="M1502" s="516"/>
      <c r="N1502" s="516"/>
      <c r="O1502" s="516"/>
      <c r="P1502" s="516"/>
      <c r="Q1502" s="482"/>
      <c r="R1502" s="482"/>
      <c r="S1502" s="252"/>
      <c r="T1502" s="252"/>
      <c r="AM1502" s="259"/>
    </row>
    <row r="1503" spans="1:39" s="258" customFormat="1" ht="52.5" customHeight="1" thickBot="1" x14ac:dyDescent="0.8">
      <c r="A1503" s="382"/>
      <c r="B1503" s="381"/>
      <c r="C1503" s="383"/>
      <c r="D1503" s="384"/>
      <c r="E1503" s="385"/>
      <c r="F1503" s="265"/>
      <c r="G1503" s="489"/>
      <c r="H1503" s="489"/>
      <c r="I1503" s="489"/>
      <c r="J1503" s="489"/>
      <c r="K1503" s="489"/>
      <c r="L1503" s="489"/>
      <c r="M1503" s="489"/>
      <c r="N1503" s="489"/>
      <c r="O1503" s="489"/>
      <c r="P1503" s="489"/>
      <c r="Q1503" s="489"/>
      <c r="R1503" s="489"/>
      <c r="S1503" s="178">
        <f>SUM(S1496:S1502)</f>
        <v>42000</v>
      </c>
      <c r="T1503" s="87">
        <f>SUM(T1496:T1502)</f>
        <v>168000</v>
      </c>
      <c r="AM1503" s="259"/>
    </row>
    <row r="1504" spans="1:39" s="258" customFormat="1" ht="52.5" customHeight="1" x14ac:dyDescent="0.75">
      <c r="A1504" s="382"/>
      <c r="B1504" s="381"/>
      <c r="C1504" s="383"/>
      <c r="D1504" s="384"/>
      <c r="F1504" s="253"/>
      <c r="G1504" s="512"/>
      <c r="H1504" s="512"/>
      <c r="I1504" s="512"/>
      <c r="J1504" s="512"/>
      <c r="K1504" s="512"/>
      <c r="L1504" s="512"/>
      <c r="M1504" s="512"/>
      <c r="N1504" s="512"/>
      <c r="O1504" s="512"/>
      <c r="P1504" s="512"/>
      <c r="Q1504" s="512"/>
      <c r="R1504" s="512"/>
      <c r="S1504" s="269"/>
      <c r="T1504" s="269"/>
      <c r="AM1504" s="259"/>
    </row>
    <row r="1505" spans="1:39" s="374" customFormat="1" ht="52.5" customHeight="1" x14ac:dyDescent="0.4">
      <c r="A1505" s="368" t="s">
        <v>6</v>
      </c>
      <c r="B1505" s="368" t="s">
        <v>7</v>
      </c>
      <c r="C1505" s="369" t="s">
        <v>8</v>
      </c>
      <c r="D1505" s="370" t="s">
        <v>231</v>
      </c>
      <c r="E1505" s="371" t="s">
        <v>10</v>
      </c>
      <c r="F1505" s="372" t="s">
        <v>11</v>
      </c>
      <c r="G1505" s="476" t="s">
        <v>12</v>
      </c>
      <c r="H1505" s="476" t="s">
        <v>13</v>
      </c>
      <c r="I1505" s="476" t="s">
        <v>14</v>
      </c>
      <c r="J1505" s="476" t="s">
        <v>15</v>
      </c>
      <c r="K1505" s="476" t="s">
        <v>16</v>
      </c>
      <c r="L1505" s="476" t="s">
        <v>17</v>
      </c>
      <c r="M1505" s="476" t="s">
        <v>18</v>
      </c>
      <c r="N1505" s="476" t="s">
        <v>19</v>
      </c>
      <c r="O1505" s="476" t="s">
        <v>20</v>
      </c>
      <c r="P1505" s="476" t="s">
        <v>21</v>
      </c>
      <c r="Q1505" s="476" t="s">
        <v>22</v>
      </c>
      <c r="R1505" s="476" t="s">
        <v>23</v>
      </c>
      <c r="S1505" s="20" t="s">
        <v>24</v>
      </c>
      <c r="T1505" s="20" t="s">
        <v>25</v>
      </c>
      <c r="AM1505" s="375"/>
    </row>
    <row r="1506" spans="1:39" ht="51.75" customHeight="1" x14ac:dyDescent="0.25">
      <c r="A1506" s="586" t="s">
        <v>373</v>
      </c>
      <c r="B1506" s="17"/>
      <c r="C1506" s="598" t="s">
        <v>374</v>
      </c>
      <c r="D1506" s="19"/>
      <c r="E1506" s="26">
        <v>2025</v>
      </c>
      <c r="F1506" s="251">
        <v>5000</v>
      </c>
      <c r="G1506" s="22"/>
      <c r="H1506" s="22"/>
      <c r="I1506" s="22"/>
      <c r="J1506" s="22"/>
      <c r="K1506" s="22"/>
      <c r="L1506" s="22"/>
      <c r="M1506" s="22"/>
      <c r="N1506" s="22"/>
      <c r="O1506" s="22"/>
      <c r="P1506" s="22"/>
      <c r="Q1506" s="22"/>
      <c r="R1506" s="22"/>
      <c r="S1506" s="64">
        <f>SUM(G1506:R1506)</f>
        <v>0</v>
      </c>
      <c r="T1506" s="29">
        <f>SUM(F1506*IF(E1506=_current_year,_current_month,12)-(S1506))</f>
        <v>60000</v>
      </c>
    </row>
    <row r="1507" spans="1:39" ht="51.75" customHeight="1" x14ac:dyDescent="0.25">
      <c r="A1507" s="588"/>
      <c r="B1507" s="17"/>
      <c r="C1507" s="599"/>
      <c r="D1507" s="19"/>
      <c r="E1507" s="30">
        <v>2024</v>
      </c>
      <c r="F1507" s="251">
        <v>3000</v>
      </c>
      <c r="G1507" s="22"/>
      <c r="H1507" s="22"/>
      <c r="I1507" s="22"/>
      <c r="J1507" s="22">
        <v>36000</v>
      </c>
      <c r="K1507" s="22"/>
      <c r="L1507" s="22"/>
      <c r="M1507" s="22"/>
      <c r="N1507" s="22"/>
      <c r="O1507" s="22"/>
      <c r="P1507" s="22"/>
      <c r="Q1507" s="22"/>
      <c r="R1507" s="22"/>
      <c r="S1507" s="37">
        <f>SUM(G1507:R1507)</f>
        <v>36000</v>
      </c>
      <c r="T1507" s="22">
        <f>SUM(F1507*IF(E1507=_current_year,_current_month,12)-(S1507))</f>
        <v>0</v>
      </c>
    </row>
    <row r="1508" spans="1:39" s="220" customFormat="1" ht="52.5" customHeight="1" x14ac:dyDescent="0.4">
      <c r="A1508" s="588"/>
      <c r="B1508" s="33" t="s">
        <v>28</v>
      </c>
      <c r="C1508" s="38" t="s">
        <v>52</v>
      </c>
      <c r="D1508" s="124"/>
      <c r="E1508" s="30">
        <v>2023</v>
      </c>
      <c r="F1508" s="251">
        <v>3000</v>
      </c>
      <c r="G1508" s="482"/>
      <c r="H1508" s="482"/>
      <c r="I1508" s="482"/>
      <c r="J1508" s="482"/>
      <c r="K1508" s="482"/>
      <c r="L1508" s="482"/>
      <c r="M1508" s="482"/>
      <c r="N1508" s="482"/>
      <c r="O1508" s="482"/>
      <c r="P1508" s="482"/>
      <c r="Q1508" s="482"/>
      <c r="R1508" s="482"/>
      <c r="S1508" s="37">
        <f>SUM(G1508:R1508)</f>
        <v>0</v>
      </c>
      <c r="T1508" s="22">
        <f>SUM(F1508*IF(E1508=_current_year,_current_month,12)-(S1508))</f>
        <v>36000</v>
      </c>
      <c r="AM1508" s="250"/>
    </row>
    <row r="1509" spans="1:39" s="258" customFormat="1" ht="52.5" customHeight="1" x14ac:dyDescent="0.45">
      <c r="A1509" s="313" t="s">
        <v>311</v>
      </c>
      <c r="B1509" s="381" t="s">
        <v>326</v>
      </c>
      <c r="C1509" s="125"/>
      <c r="D1509" s="126"/>
      <c r="E1509" s="30">
        <v>2022</v>
      </c>
      <c r="F1509" s="251">
        <v>3000</v>
      </c>
      <c r="G1509" s="516"/>
      <c r="H1509" s="516"/>
      <c r="I1509" s="516"/>
      <c r="J1509" s="516"/>
      <c r="K1509" s="516"/>
      <c r="L1509" s="516"/>
      <c r="M1509" s="516"/>
      <c r="N1509" s="516"/>
      <c r="O1509" s="553"/>
      <c r="Q1509" s="516">
        <v>9000</v>
      </c>
      <c r="R1509" s="516"/>
      <c r="S1509" s="37">
        <f>SUM(G1509:R1509)</f>
        <v>9000</v>
      </c>
      <c r="T1509" s="22">
        <f>SUM(9000-(S1509))</f>
        <v>0</v>
      </c>
      <c r="AM1509" s="259"/>
    </row>
    <row r="1510" spans="1:39" s="258" customFormat="1" ht="52.5" customHeight="1" x14ac:dyDescent="0.45">
      <c r="A1510" s="313"/>
      <c r="B1510" s="381"/>
      <c r="C1510" s="125"/>
      <c r="D1510" s="126"/>
      <c r="E1510" s="289"/>
      <c r="F1510" s="290"/>
      <c r="G1510" s="290"/>
      <c r="H1510" s="290"/>
      <c r="I1510" s="290"/>
      <c r="J1510" s="290"/>
      <c r="K1510" s="290"/>
      <c r="L1510" s="290"/>
      <c r="M1510" s="290"/>
      <c r="N1510" s="290"/>
      <c r="O1510" s="290"/>
      <c r="P1510" s="290"/>
      <c r="Q1510" s="290"/>
      <c r="R1510" s="290"/>
      <c r="S1510" s="290"/>
      <c r="T1510" s="291"/>
      <c r="AM1510" s="259"/>
    </row>
    <row r="1511" spans="1:39" s="258" customFormat="1" ht="52.5" customHeight="1" thickBot="1" x14ac:dyDescent="0.8">
      <c r="A1511" s="382"/>
      <c r="B1511" s="381"/>
      <c r="C1511" s="383"/>
      <c r="D1511" s="384"/>
      <c r="E1511" s="385"/>
      <c r="F1511" s="265"/>
      <c r="G1511" s="489"/>
      <c r="H1511" s="489"/>
      <c r="I1511" s="489"/>
      <c r="J1511" s="489"/>
      <c r="K1511" s="489"/>
      <c r="L1511" s="489"/>
      <c r="M1511" s="489"/>
      <c r="N1511" s="489"/>
      <c r="O1511" s="489"/>
      <c r="P1511" s="489"/>
      <c r="Q1511" s="489"/>
      <c r="R1511" s="489"/>
      <c r="S1511" s="178">
        <f>SUM(S1506:S1510)</f>
        <v>45000</v>
      </c>
      <c r="T1511" s="87">
        <f>SUM(T1506:T1510)</f>
        <v>96000</v>
      </c>
      <c r="AM1511" s="259"/>
    </row>
    <row r="1512" spans="1:39" s="258" customFormat="1" ht="52.5" customHeight="1" x14ac:dyDescent="0.75">
      <c r="A1512" s="382"/>
      <c r="B1512" s="381"/>
      <c r="C1512" s="383"/>
      <c r="D1512" s="384"/>
      <c r="F1512" s="253"/>
      <c r="G1512" s="512"/>
      <c r="H1512" s="512"/>
      <c r="I1512" s="512"/>
      <c r="J1512" s="512"/>
      <c r="K1512" s="512"/>
      <c r="L1512" s="512"/>
      <c r="M1512" s="512"/>
      <c r="N1512" s="512"/>
      <c r="O1512" s="512"/>
      <c r="P1512" s="512"/>
      <c r="Q1512" s="512"/>
      <c r="R1512" s="512"/>
      <c r="S1512" s="269"/>
      <c r="T1512" s="269"/>
      <c r="AM1512" s="259"/>
    </row>
    <row r="1513" spans="1:39" s="374" customFormat="1" ht="52.5" customHeight="1" x14ac:dyDescent="0.4">
      <c r="A1513" s="368" t="s">
        <v>6</v>
      </c>
      <c r="B1513" s="368" t="s">
        <v>7</v>
      </c>
      <c r="C1513" s="369" t="s">
        <v>8</v>
      </c>
      <c r="D1513" s="370" t="s">
        <v>231</v>
      </c>
      <c r="E1513" s="371" t="s">
        <v>10</v>
      </c>
      <c r="F1513" s="372" t="s">
        <v>11</v>
      </c>
      <c r="G1513" s="373" t="s">
        <v>12</v>
      </c>
      <c r="H1513" s="373" t="s">
        <v>13</v>
      </c>
      <c r="I1513" s="373" t="s">
        <v>14</v>
      </c>
      <c r="J1513" s="373" t="s">
        <v>15</v>
      </c>
      <c r="K1513" s="373" t="s">
        <v>16</v>
      </c>
      <c r="L1513" s="373" t="s">
        <v>17</v>
      </c>
      <c r="M1513" s="373" t="s">
        <v>18</v>
      </c>
      <c r="N1513" s="373" t="s">
        <v>19</v>
      </c>
      <c r="O1513" s="373" t="s">
        <v>20</v>
      </c>
      <c r="P1513" s="373" t="s">
        <v>21</v>
      </c>
      <c r="Q1513" s="373" t="s">
        <v>22</v>
      </c>
      <c r="R1513" s="373" t="s">
        <v>23</v>
      </c>
      <c r="S1513" s="20" t="s">
        <v>24</v>
      </c>
      <c r="T1513" s="20" t="s">
        <v>25</v>
      </c>
      <c r="AM1513" s="375"/>
    </row>
    <row r="1514" spans="1:39" ht="52.5" customHeight="1" x14ac:dyDescent="0.25">
      <c r="A1514" s="376" t="s">
        <v>375</v>
      </c>
      <c r="B1514" s="17"/>
      <c r="C1514" s="377" t="s">
        <v>376</v>
      </c>
      <c r="D1514" s="19"/>
      <c r="E1514" s="26">
        <v>2025</v>
      </c>
      <c r="F1514" s="251">
        <v>5000</v>
      </c>
      <c r="G1514" s="159"/>
      <c r="H1514" s="159"/>
      <c r="I1514" s="159"/>
      <c r="J1514" s="159"/>
      <c r="K1514" s="159"/>
      <c r="L1514" s="159"/>
      <c r="M1514" s="159"/>
      <c r="N1514" s="159"/>
      <c r="O1514" s="159">
        <v>66000</v>
      </c>
      <c r="P1514" s="159"/>
      <c r="Q1514" s="159"/>
      <c r="R1514" s="159"/>
      <c r="S1514" s="64">
        <f>SUM(G1514:R1514)</f>
        <v>66000</v>
      </c>
      <c r="T1514" s="29">
        <f>SUM(F1514*IF(E1514=_current_year,_current_month,12)-(S1514))</f>
        <v>-6000</v>
      </c>
    </row>
    <row r="1515" spans="1:39" ht="52.5" customHeight="1" x14ac:dyDescent="0.25">
      <c r="A1515" s="600"/>
      <c r="B1515" s="17"/>
      <c r="C1515" s="379"/>
      <c r="D1515" s="19"/>
      <c r="E1515" s="30">
        <v>2024</v>
      </c>
      <c r="F1515" s="251">
        <v>3000</v>
      </c>
      <c r="G1515" s="159"/>
      <c r="H1515" s="159"/>
      <c r="I1515" s="159"/>
      <c r="J1515" s="159"/>
      <c r="K1515" s="159"/>
      <c r="L1515" s="159"/>
      <c r="M1515" s="159"/>
      <c r="N1515" s="159"/>
      <c r="O1515" s="159"/>
      <c r="P1515" s="159"/>
      <c r="Q1515" s="159"/>
      <c r="R1515" s="159"/>
      <c r="S1515" s="37">
        <f>SUM(G1515:R1515)</f>
        <v>0</v>
      </c>
      <c r="T1515" s="22">
        <f>SUM(F1515*IF(E1515=_current_year,_current_month,12)-(S1515))</f>
        <v>36000</v>
      </c>
    </row>
    <row r="1516" spans="1:39" ht="52.5" customHeight="1" thickBot="1" x14ac:dyDescent="0.3">
      <c r="A1516" s="600"/>
      <c r="B1516" s="17"/>
      <c r="C1516" s="380"/>
      <c r="D1516" s="19"/>
      <c r="E1516" s="30">
        <v>2023</v>
      </c>
      <c r="F1516" s="251">
        <v>3000</v>
      </c>
      <c r="G1516" s="159"/>
      <c r="H1516" s="159"/>
      <c r="I1516" s="159"/>
      <c r="J1516" s="159"/>
      <c r="K1516" s="159"/>
      <c r="L1516" s="159"/>
      <c r="M1516" s="159"/>
      <c r="N1516" s="159"/>
      <c r="O1516" s="159"/>
      <c r="P1516" s="159"/>
      <c r="Q1516" s="336">
        <v>18000</v>
      </c>
      <c r="R1516" s="159"/>
      <c r="S1516" s="37">
        <f>SUM(G1516:R1516)</f>
        <v>18000</v>
      </c>
      <c r="T1516" s="178">
        <f>SUM(3000-S1516)</f>
        <v>-15000</v>
      </c>
    </row>
    <row r="1517" spans="1:39" s="220" customFormat="1" ht="52.5" customHeight="1" thickTop="1" x14ac:dyDescent="0.4">
      <c r="A1517" s="378"/>
      <c r="B1517" s="33" t="s">
        <v>28</v>
      </c>
      <c r="C1517" s="34"/>
      <c r="D1517" s="35"/>
      <c r="E1517" s="73"/>
      <c r="F1517" s="74"/>
      <c r="G1517" s="74"/>
      <c r="H1517" s="74"/>
      <c r="I1517" s="74"/>
      <c r="J1517" s="74"/>
      <c r="K1517" s="74"/>
      <c r="L1517" s="74"/>
      <c r="M1517" s="74"/>
      <c r="N1517" s="74"/>
      <c r="O1517" s="74"/>
      <c r="P1517" s="74"/>
      <c r="Q1517" s="74"/>
      <c r="R1517" s="74"/>
      <c r="S1517" s="74"/>
      <c r="T1517" s="75"/>
      <c r="AM1517" s="250"/>
    </row>
    <row r="1518" spans="1:39" s="220" customFormat="1" ht="52.5" customHeight="1" x14ac:dyDescent="0.4">
      <c r="A1518" s="313" t="s">
        <v>311</v>
      </c>
      <c r="B1518" s="33" t="s">
        <v>28</v>
      </c>
      <c r="C1518" s="38" t="s">
        <v>52</v>
      </c>
      <c r="D1518" s="124"/>
      <c r="E1518" s="77"/>
      <c r="F1518" s="78"/>
      <c r="G1518" s="78"/>
      <c r="H1518" s="78"/>
      <c r="I1518" s="78"/>
      <c r="J1518" s="78"/>
      <c r="K1518" s="78"/>
      <c r="L1518" s="78"/>
      <c r="M1518" s="78"/>
      <c r="N1518" s="78"/>
      <c r="O1518" s="78"/>
      <c r="P1518" s="78"/>
      <c r="Q1518" s="78"/>
      <c r="R1518" s="78"/>
      <c r="S1518" s="78"/>
      <c r="T1518" s="79"/>
      <c r="AM1518" s="250"/>
    </row>
    <row r="1519" spans="1:39" s="258" customFormat="1" ht="52.5" customHeight="1" x14ac:dyDescent="0.45">
      <c r="A1519" s="313"/>
      <c r="B1519" s="381" t="s">
        <v>28</v>
      </c>
      <c r="C1519" s="125"/>
      <c r="D1519" s="126"/>
      <c r="E1519" s="167"/>
      <c r="F1519" s="168"/>
      <c r="G1519" s="168"/>
      <c r="H1519" s="168"/>
      <c r="I1519" s="168"/>
      <c r="J1519" s="168"/>
      <c r="K1519" s="168"/>
      <c r="L1519" s="168"/>
      <c r="M1519" s="168"/>
      <c r="N1519" s="168"/>
      <c r="O1519" s="168"/>
      <c r="P1519" s="168"/>
      <c r="Q1519" s="168"/>
      <c r="R1519" s="168"/>
      <c r="S1519" s="168"/>
      <c r="T1519" s="169"/>
      <c r="AM1519" s="259"/>
    </row>
    <row r="1520" spans="1:39" s="258" customFormat="1" ht="52.5" customHeight="1" thickBot="1" x14ac:dyDescent="0.8">
      <c r="A1520" s="382"/>
      <c r="B1520" s="381"/>
      <c r="C1520" s="383"/>
      <c r="D1520" s="384"/>
      <c r="E1520" s="385"/>
      <c r="F1520" s="265"/>
      <c r="G1520" s="386"/>
      <c r="H1520" s="386"/>
      <c r="I1520" s="386"/>
      <c r="J1520" s="386"/>
      <c r="K1520" s="386"/>
      <c r="L1520" s="386"/>
      <c r="M1520" s="386"/>
      <c r="N1520" s="386"/>
      <c r="O1520" s="386"/>
      <c r="P1520" s="386"/>
      <c r="Q1520" s="386"/>
      <c r="R1520" s="386"/>
      <c r="S1520" s="387">
        <f>SUM(S1514:S1519)</f>
        <v>84000</v>
      </c>
      <c r="T1520" s="387">
        <f>SUM(T1514:T1519)</f>
        <v>15000</v>
      </c>
      <c r="AM1520" s="259"/>
    </row>
    <row r="1521" spans="1:39" s="258" customFormat="1" ht="52.5" customHeight="1" x14ac:dyDescent="0.75">
      <c r="A1521" s="382"/>
      <c r="B1521" s="381"/>
      <c r="C1521" s="383"/>
      <c r="D1521" s="384"/>
      <c r="E1521" s="388"/>
      <c r="F1521" s="234"/>
      <c r="G1521" s="389"/>
      <c r="H1521" s="389"/>
      <c r="I1521" s="389"/>
      <c r="J1521" s="389"/>
      <c r="K1521" s="389"/>
      <c r="L1521" s="389"/>
      <c r="M1521" s="389"/>
      <c r="N1521" s="389"/>
      <c r="O1521" s="389"/>
      <c r="P1521" s="389"/>
      <c r="Q1521" s="389"/>
      <c r="R1521" s="389"/>
      <c r="S1521" s="237"/>
      <c r="T1521" s="237"/>
      <c r="AM1521" s="259"/>
    </row>
    <row r="1522" spans="1:39" s="374" customFormat="1" ht="52.5" customHeight="1" x14ac:dyDescent="0.4">
      <c r="A1522" s="368" t="s">
        <v>6</v>
      </c>
      <c r="B1522" s="368" t="s">
        <v>7</v>
      </c>
      <c r="C1522" s="369" t="s">
        <v>8</v>
      </c>
      <c r="D1522" s="370" t="s">
        <v>231</v>
      </c>
      <c r="E1522" s="371" t="s">
        <v>10</v>
      </c>
      <c r="F1522" s="372" t="s">
        <v>11</v>
      </c>
      <c r="G1522" s="476" t="s">
        <v>12</v>
      </c>
      <c r="H1522" s="476" t="s">
        <v>13</v>
      </c>
      <c r="I1522" s="476" t="s">
        <v>14</v>
      </c>
      <c r="J1522" s="476" t="s">
        <v>15</v>
      </c>
      <c r="K1522" s="476" t="s">
        <v>16</v>
      </c>
      <c r="L1522" s="476" t="s">
        <v>17</v>
      </c>
      <c r="M1522" s="476" t="s">
        <v>18</v>
      </c>
      <c r="N1522" s="476" t="s">
        <v>19</v>
      </c>
      <c r="O1522" s="476" t="s">
        <v>20</v>
      </c>
      <c r="P1522" s="476" t="s">
        <v>21</v>
      </c>
      <c r="Q1522" s="476" t="s">
        <v>22</v>
      </c>
      <c r="R1522" s="476" t="s">
        <v>23</v>
      </c>
      <c r="S1522" s="20" t="s">
        <v>24</v>
      </c>
      <c r="T1522" s="20" t="s">
        <v>25</v>
      </c>
      <c r="AM1522" s="375"/>
    </row>
    <row r="1523" spans="1:39" ht="51.75" customHeight="1" x14ac:dyDescent="0.6">
      <c r="A1523" s="376" t="s">
        <v>377</v>
      </c>
      <c r="B1523" s="17"/>
      <c r="C1523" s="377" t="s">
        <v>378</v>
      </c>
      <c r="D1523" s="19"/>
      <c r="E1523" s="26">
        <v>2025</v>
      </c>
      <c r="F1523" s="251">
        <v>5000</v>
      </c>
      <c r="G1523" s="22"/>
      <c r="H1523" s="22"/>
      <c r="I1523" s="22"/>
      <c r="J1523" s="22"/>
      <c r="K1523" s="22"/>
      <c r="L1523" s="22"/>
      <c r="N1523" s="22"/>
      <c r="O1523" s="22">
        <v>50000</v>
      </c>
      <c r="P1523" s="22"/>
      <c r="Q1523" s="22"/>
      <c r="R1523" s="22"/>
      <c r="S1523" s="64">
        <f>SUM(G1523:R1523)</f>
        <v>50000</v>
      </c>
      <c r="T1523" s="29">
        <f>SUM(F1523*IF(E1523=_current_year,_current_month,12)-(S1523))</f>
        <v>10000</v>
      </c>
    </row>
    <row r="1524" spans="1:39" ht="51.75" customHeight="1" x14ac:dyDescent="0.25">
      <c r="A1524" s="600"/>
      <c r="B1524" s="17"/>
      <c r="C1524" s="379"/>
      <c r="D1524" s="19"/>
      <c r="E1524" s="30">
        <v>2024</v>
      </c>
      <c r="F1524" s="251">
        <v>3000</v>
      </c>
      <c r="G1524" s="22"/>
      <c r="H1524" s="22"/>
      <c r="I1524" s="22"/>
      <c r="J1524" s="22">
        <v>36000</v>
      </c>
      <c r="K1524" s="22"/>
      <c r="L1524" s="22"/>
      <c r="M1524" s="22"/>
      <c r="N1524" s="22"/>
      <c r="O1524" s="22"/>
      <c r="P1524" s="22"/>
      <c r="Q1524" s="22"/>
      <c r="R1524" s="22"/>
      <c r="S1524" s="37">
        <f>SUM(G1524:R1524)</f>
        <v>36000</v>
      </c>
      <c r="T1524" s="22">
        <f>SUM(F1524*IF(E1524=_current_year,_current_month,12)-(S1524))</f>
        <v>0</v>
      </c>
    </row>
    <row r="1525" spans="1:39" s="220" customFormat="1" ht="48" customHeight="1" x14ac:dyDescent="0.4">
      <c r="A1525" s="600"/>
      <c r="B1525" s="33" t="s">
        <v>28</v>
      </c>
      <c r="C1525" s="380"/>
      <c r="D1525" s="35"/>
      <c r="E1525" s="30">
        <v>2024</v>
      </c>
      <c r="F1525" s="251">
        <v>3000</v>
      </c>
      <c r="G1525" s="22"/>
      <c r="H1525" s="22"/>
      <c r="I1525" s="22"/>
      <c r="J1525" s="22"/>
      <c r="K1525" s="22"/>
      <c r="L1525" s="22"/>
      <c r="M1525" s="22"/>
      <c r="N1525" s="22"/>
      <c r="O1525" s="22"/>
      <c r="P1525" s="22"/>
      <c r="Q1525" s="553"/>
      <c r="R1525" s="22"/>
      <c r="S1525" s="37">
        <f>SUM(G1525:R1525)</f>
        <v>0</v>
      </c>
      <c r="T1525" s="22">
        <f>SUM(3000-(S1525))</f>
        <v>3000</v>
      </c>
      <c r="AM1525" s="250"/>
    </row>
    <row r="1526" spans="1:39" s="220" customFormat="1" ht="52.5" customHeight="1" x14ac:dyDescent="0.4">
      <c r="A1526" s="313" t="s">
        <v>311</v>
      </c>
      <c r="B1526" s="33" t="s">
        <v>28</v>
      </c>
      <c r="C1526" s="34" t="s">
        <v>379</v>
      </c>
      <c r="D1526" s="59"/>
      <c r="E1526" s="30"/>
      <c r="F1526" s="30"/>
      <c r="G1526" s="482"/>
      <c r="H1526" s="482"/>
      <c r="I1526" s="482"/>
      <c r="J1526" s="482"/>
      <c r="K1526" s="482"/>
      <c r="L1526" s="482"/>
      <c r="M1526" s="482"/>
      <c r="N1526" s="482"/>
      <c r="O1526" s="482"/>
      <c r="P1526" s="482"/>
      <c r="Q1526" s="482"/>
      <c r="R1526" s="482"/>
      <c r="S1526" s="252"/>
      <c r="T1526" s="252"/>
      <c r="AM1526" s="250"/>
    </row>
    <row r="1527" spans="1:39" s="258" customFormat="1" ht="52.5" customHeight="1" x14ac:dyDescent="0.45">
      <c r="A1527" s="313"/>
      <c r="B1527" s="381" t="s">
        <v>28</v>
      </c>
      <c r="C1527" s="601" t="s">
        <v>380</v>
      </c>
      <c r="D1527" s="61"/>
      <c r="E1527" s="513"/>
      <c r="F1527" s="513"/>
      <c r="G1527" s="516"/>
      <c r="H1527" s="516"/>
      <c r="I1527" s="516"/>
      <c r="J1527" s="516"/>
      <c r="K1527" s="516"/>
      <c r="L1527" s="516"/>
      <c r="M1527" s="516"/>
      <c r="N1527" s="516"/>
      <c r="O1527" s="516"/>
      <c r="P1527" s="516"/>
      <c r="Q1527" s="516"/>
      <c r="R1527" s="516"/>
      <c r="S1527" s="252"/>
      <c r="T1527" s="257"/>
      <c r="AM1527" s="259"/>
    </row>
    <row r="1528" spans="1:39" s="258" customFormat="1" ht="52.5" customHeight="1" thickBot="1" x14ac:dyDescent="0.8">
      <c r="A1528" s="382"/>
      <c r="B1528" s="381"/>
      <c r="C1528" s="82"/>
      <c r="D1528" s="384"/>
      <c r="E1528" s="385"/>
      <c r="F1528" s="265"/>
      <c r="G1528" s="489"/>
      <c r="H1528" s="489"/>
      <c r="I1528" s="489"/>
      <c r="J1528" s="489"/>
      <c r="K1528" s="489"/>
      <c r="L1528" s="489"/>
      <c r="M1528" s="489"/>
      <c r="N1528" s="489"/>
      <c r="O1528" s="489"/>
      <c r="P1528" s="489"/>
      <c r="Q1528" s="489"/>
      <c r="R1528" s="489"/>
      <c r="S1528" s="178">
        <f>SUM(S1523:S1527)</f>
        <v>86000</v>
      </c>
      <c r="T1528" s="87">
        <f>SUM(T1523:T1527)</f>
        <v>13000</v>
      </c>
      <c r="AM1528" s="259"/>
    </row>
    <row r="1529" spans="1:39" ht="52.5" customHeight="1" x14ac:dyDescent="0.25"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</row>
    <row r="1530" spans="1:39" s="258" customFormat="1" ht="52.5" customHeight="1" x14ac:dyDescent="0.75">
      <c r="A1530" s="382"/>
      <c r="B1530" s="381"/>
      <c r="C1530" s="383"/>
      <c r="D1530" s="384"/>
      <c r="E1530" s="388"/>
      <c r="F1530" s="234"/>
      <c r="G1530" s="389"/>
      <c r="H1530" s="389"/>
      <c r="I1530" s="389"/>
      <c r="J1530" s="389"/>
      <c r="K1530" s="389"/>
      <c r="L1530" s="389"/>
      <c r="M1530" s="389"/>
      <c r="N1530" s="389"/>
      <c r="O1530" s="389"/>
      <c r="P1530" s="389"/>
      <c r="Q1530" s="389"/>
      <c r="R1530" s="389"/>
      <c r="S1530" s="344"/>
      <c r="T1530" s="344"/>
      <c r="AM1530" s="259"/>
    </row>
    <row r="1531" spans="1:39" s="374" customFormat="1" ht="52.5" customHeight="1" x14ac:dyDescent="0.4">
      <c r="A1531" s="368" t="s">
        <v>6</v>
      </c>
      <c r="B1531" s="368" t="s">
        <v>7</v>
      </c>
      <c r="C1531" s="369" t="s">
        <v>8</v>
      </c>
      <c r="D1531" s="370" t="s">
        <v>231</v>
      </c>
      <c r="E1531" s="371" t="s">
        <v>10</v>
      </c>
      <c r="F1531" s="372" t="s">
        <v>11</v>
      </c>
      <c r="G1531" s="476" t="s">
        <v>12</v>
      </c>
      <c r="H1531" s="476" t="s">
        <v>13</v>
      </c>
      <c r="I1531" s="476" t="s">
        <v>14</v>
      </c>
      <c r="J1531" s="476" t="s">
        <v>15</v>
      </c>
      <c r="K1531" s="476" t="s">
        <v>16</v>
      </c>
      <c r="L1531" s="476" t="s">
        <v>17</v>
      </c>
      <c r="M1531" s="476" t="s">
        <v>18</v>
      </c>
      <c r="N1531" s="476" t="s">
        <v>19</v>
      </c>
      <c r="O1531" s="476" t="s">
        <v>20</v>
      </c>
      <c r="P1531" s="476" t="s">
        <v>21</v>
      </c>
      <c r="Q1531" s="476" t="s">
        <v>22</v>
      </c>
      <c r="R1531" s="476" t="s">
        <v>23</v>
      </c>
      <c r="S1531" s="20" t="s">
        <v>24</v>
      </c>
      <c r="T1531" s="20" t="s">
        <v>25</v>
      </c>
      <c r="AM1531" s="375"/>
    </row>
    <row r="1532" spans="1:39" ht="51.75" customHeight="1" x14ac:dyDescent="0.6">
      <c r="A1532" s="586" t="s">
        <v>381</v>
      </c>
      <c r="B1532" s="17"/>
      <c r="C1532" s="377" t="s">
        <v>382</v>
      </c>
      <c r="D1532" s="19"/>
      <c r="E1532" s="26">
        <v>2025</v>
      </c>
      <c r="F1532" s="251">
        <v>5000</v>
      </c>
      <c r="G1532" s="22"/>
      <c r="H1532" s="22">
        <v>20000</v>
      </c>
      <c r="I1532" s="22"/>
      <c r="J1532" s="22"/>
      <c r="K1532" s="22"/>
      <c r="L1532" s="22"/>
      <c r="M1532" s="22">
        <v>12000</v>
      </c>
      <c r="N1532" s="22"/>
      <c r="O1532" s="22">
        <v>10000</v>
      </c>
      <c r="P1532" s="22"/>
      <c r="Q1532" s="22"/>
      <c r="R1532" s="189"/>
      <c r="S1532" s="64">
        <f>SUM(G1532:Q1532)</f>
        <v>42000</v>
      </c>
      <c r="T1532" s="29">
        <f>SUM(F1532*IF(E1532=_current_year,_current_month,12)-(S1532))</f>
        <v>18000</v>
      </c>
    </row>
    <row r="1533" spans="1:39" ht="51.75" customHeight="1" x14ac:dyDescent="0.6">
      <c r="A1533" s="588"/>
      <c r="B1533" s="17"/>
      <c r="C1533" s="379"/>
      <c r="D1533" s="19"/>
      <c r="E1533" s="30">
        <v>2024</v>
      </c>
      <c r="F1533" s="251">
        <v>3000</v>
      </c>
      <c r="G1533" s="22"/>
      <c r="H1533" s="22"/>
      <c r="I1533" s="22"/>
      <c r="J1533" s="22">
        <v>9000</v>
      </c>
      <c r="K1533" s="22"/>
      <c r="L1533" s="22"/>
      <c r="M1533" s="22"/>
      <c r="N1533" s="22"/>
      <c r="O1533" s="22"/>
      <c r="P1533" s="22"/>
      <c r="Q1533" s="22">
        <v>9000</v>
      </c>
      <c r="R1533" s="189"/>
      <c r="S1533" s="37">
        <f>SUM(G1533:Q1533)</f>
        <v>18000</v>
      </c>
      <c r="T1533" s="22">
        <f>SUM(F1533*IF(E1533=_current_year,_current_month,12)-(S1533))</f>
        <v>18000</v>
      </c>
    </row>
    <row r="1534" spans="1:39" ht="51.75" customHeight="1" x14ac:dyDescent="0.6">
      <c r="A1534" s="588"/>
      <c r="B1534" s="17"/>
      <c r="C1534" s="380"/>
      <c r="D1534" s="19"/>
      <c r="E1534" s="30">
        <v>2023</v>
      </c>
      <c r="F1534" s="251">
        <v>3000</v>
      </c>
      <c r="G1534" s="22"/>
      <c r="H1534" s="22">
        <v>20000</v>
      </c>
      <c r="I1534" s="22"/>
      <c r="J1534" s="22">
        <f>13000+3000</f>
        <v>16000</v>
      </c>
      <c r="K1534" s="22">
        <f>3000+10000</f>
        <v>13000</v>
      </c>
      <c r="L1534" s="22"/>
      <c r="M1534" s="22">
        <v>20000</v>
      </c>
      <c r="N1534" s="22"/>
      <c r="O1534" s="22">
        <v>14000</v>
      </c>
      <c r="P1534" s="22">
        <v>47000</v>
      </c>
      <c r="Q1534" s="22"/>
      <c r="R1534" s="189"/>
      <c r="S1534" s="37">
        <f>SUM(G1534:Q1534)</f>
        <v>130000</v>
      </c>
      <c r="T1534" s="22">
        <f>SUM(F1534*IF(E1534=_current_year,_current_month,12)-(S1534))</f>
        <v>-94000</v>
      </c>
    </row>
    <row r="1535" spans="1:39" s="220" customFormat="1" ht="48" customHeight="1" x14ac:dyDescent="0.4">
      <c r="A1535" s="588"/>
      <c r="B1535" s="33" t="s">
        <v>28</v>
      </c>
      <c r="C1535" s="34"/>
      <c r="D1535" s="35"/>
      <c r="E1535" s="30">
        <v>2022</v>
      </c>
      <c r="F1535" s="251">
        <v>3000</v>
      </c>
      <c r="G1535" s="36"/>
      <c r="H1535" s="36"/>
      <c r="I1535" s="36">
        <v>10000</v>
      </c>
      <c r="J1535" s="36"/>
      <c r="K1535" s="36"/>
      <c r="L1535" s="36">
        <v>5000</v>
      </c>
      <c r="M1535" s="36"/>
      <c r="N1535" s="36"/>
      <c r="O1535" s="36">
        <v>10000</v>
      </c>
      <c r="P1535" s="36">
        <v>10000</v>
      </c>
      <c r="Q1535" s="36"/>
      <c r="R1535" s="36"/>
      <c r="S1535" s="37">
        <f>SUM(G1535:R1535)</f>
        <v>35000</v>
      </c>
      <c r="T1535" s="37">
        <f>SUM(36000-S1535)</f>
        <v>1000</v>
      </c>
      <c r="AM1535" s="250"/>
    </row>
    <row r="1536" spans="1:39" s="220" customFormat="1" ht="52.5" customHeight="1" x14ac:dyDescent="0.4">
      <c r="A1536" s="588"/>
      <c r="B1536" s="33" t="s">
        <v>28</v>
      </c>
      <c r="C1536" s="38" t="s">
        <v>52</v>
      </c>
      <c r="D1536" s="124"/>
      <c r="E1536" s="30">
        <v>2021</v>
      </c>
      <c r="F1536" s="251">
        <v>3000</v>
      </c>
      <c r="G1536" s="482"/>
      <c r="H1536" s="482"/>
      <c r="I1536" s="482"/>
      <c r="J1536" s="482"/>
      <c r="K1536" s="482"/>
      <c r="L1536" s="482"/>
      <c r="M1536" s="482"/>
      <c r="N1536" s="482"/>
      <c r="O1536" s="482"/>
      <c r="P1536" s="482"/>
      <c r="Q1536" s="482"/>
      <c r="R1536" s="482"/>
      <c r="S1536" s="252">
        <f>SUM(G1536:R1536)</f>
        <v>0</v>
      </c>
      <c r="T1536" s="252">
        <f>SUM(36000-S1536)</f>
        <v>36000</v>
      </c>
      <c r="AM1536" s="250"/>
    </row>
    <row r="1537" spans="1:39" s="258" customFormat="1" ht="52.5" customHeight="1" x14ac:dyDescent="0.45">
      <c r="A1537" s="313" t="s">
        <v>311</v>
      </c>
      <c r="B1537" s="381" t="s">
        <v>383</v>
      </c>
      <c r="C1537" s="125"/>
      <c r="D1537" s="126"/>
      <c r="E1537" s="513">
        <v>2020</v>
      </c>
      <c r="F1537" s="251">
        <v>3000</v>
      </c>
      <c r="G1537" s="516"/>
      <c r="H1537" s="516"/>
      <c r="I1537" s="516"/>
      <c r="J1537" s="516">
        <v>3000</v>
      </c>
      <c r="K1537" s="516"/>
      <c r="L1537" s="516"/>
      <c r="M1537" s="516"/>
      <c r="N1537" s="516"/>
      <c r="O1537" s="516"/>
      <c r="P1537" s="516"/>
      <c r="Q1537" s="516"/>
      <c r="R1537" s="516"/>
      <c r="S1537" s="252">
        <f>SUM(G1537:R1537)</f>
        <v>3000</v>
      </c>
      <c r="T1537" s="257">
        <f>SUM(36000-S1537)</f>
        <v>33000</v>
      </c>
      <c r="AM1537" s="259"/>
    </row>
    <row r="1538" spans="1:39" s="258" customFormat="1" ht="52.5" customHeight="1" x14ac:dyDescent="0.45">
      <c r="A1538" s="313"/>
      <c r="B1538" s="381"/>
      <c r="C1538" s="125"/>
      <c r="D1538" s="126"/>
      <c r="E1538" s="513">
        <v>2019</v>
      </c>
      <c r="F1538" s="251">
        <v>3000</v>
      </c>
      <c r="G1538" s="516"/>
      <c r="H1538" s="516"/>
      <c r="I1538" s="516"/>
      <c r="J1538" s="516"/>
      <c r="K1538" s="516"/>
      <c r="L1538" s="516"/>
      <c r="M1538" s="516"/>
      <c r="N1538" s="516"/>
      <c r="O1538" s="516"/>
      <c r="P1538" s="516"/>
      <c r="Q1538" s="516"/>
      <c r="R1538" s="553"/>
      <c r="S1538" s="252">
        <f>SUM(G1538:R1538)</f>
        <v>0</v>
      </c>
      <c r="T1538" s="257">
        <f>SUM(3000-S1538)</f>
        <v>3000</v>
      </c>
      <c r="AM1538" s="259"/>
    </row>
    <row r="1539" spans="1:39" s="258" customFormat="1" ht="52.5" customHeight="1" thickBot="1" x14ac:dyDescent="0.8">
      <c r="A1539" s="382"/>
      <c r="B1539" s="381"/>
      <c r="C1539" s="383"/>
      <c r="D1539" s="384"/>
      <c r="E1539" s="385"/>
      <c r="F1539" s="265"/>
      <c r="G1539" s="489"/>
      <c r="H1539" s="489"/>
      <c r="I1539" s="489"/>
      <c r="J1539" s="489"/>
      <c r="K1539" s="489"/>
      <c r="L1539" s="489"/>
      <c r="M1539" s="489"/>
      <c r="N1539" s="489"/>
      <c r="O1539" s="489"/>
      <c r="P1539" s="489"/>
      <c r="Q1539" s="489"/>
      <c r="R1539" s="489"/>
      <c r="S1539" s="178">
        <f>SUM(S1532:S1538)</f>
        <v>228000</v>
      </c>
      <c r="T1539" s="87">
        <f>SUM(T1532:T1538)</f>
        <v>15000</v>
      </c>
      <c r="AM1539" s="259"/>
    </row>
    <row r="1540" spans="1:39" s="258" customFormat="1" ht="52.5" customHeight="1" x14ac:dyDescent="0.75">
      <c r="A1540" s="382"/>
      <c r="B1540" s="381"/>
      <c r="C1540" s="383"/>
      <c r="D1540" s="384"/>
      <c r="F1540" s="253"/>
      <c r="G1540" s="512"/>
      <c r="H1540" s="512"/>
      <c r="I1540" s="512"/>
      <c r="J1540" s="512"/>
      <c r="K1540" s="512"/>
      <c r="L1540" s="512"/>
      <c r="M1540" s="512"/>
      <c r="N1540" s="512"/>
      <c r="O1540" s="512"/>
      <c r="P1540" s="512"/>
      <c r="Q1540" s="512"/>
      <c r="R1540" s="512"/>
      <c r="S1540" s="269"/>
      <c r="T1540" s="269"/>
      <c r="AM1540" s="259"/>
    </row>
    <row r="1541" spans="1:39" s="374" customFormat="1" ht="52.5" customHeight="1" x14ac:dyDescent="0.4">
      <c r="A1541" s="368" t="s">
        <v>6</v>
      </c>
      <c r="B1541" s="368" t="s">
        <v>7</v>
      </c>
      <c r="C1541" s="369" t="s">
        <v>8</v>
      </c>
      <c r="D1541" s="370" t="s">
        <v>231</v>
      </c>
      <c r="E1541" s="371" t="s">
        <v>10</v>
      </c>
      <c r="F1541" s="372" t="s">
        <v>11</v>
      </c>
      <c r="G1541" s="476" t="s">
        <v>12</v>
      </c>
      <c r="H1541" s="476" t="s">
        <v>13</v>
      </c>
      <c r="I1541" s="476" t="s">
        <v>14</v>
      </c>
      <c r="J1541" s="476" t="s">
        <v>15</v>
      </c>
      <c r="K1541" s="476" t="s">
        <v>16</v>
      </c>
      <c r="L1541" s="476" t="s">
        <v>17</v>
      </c>
      <c r="M1541" s="476" t="s">
        <v>18</v>
      </c>
      <c r="N1541" s="476" t="s">
        <v>19</v>
      </c>
      <c r="O1541" s="476" t="s">
        <v>20</v>
      </c>
      <c r="P1541" s="476" t="s">
        <v>21</v>
      </c>
      <c r="Q1541" s="476" t="s">
        <v>22</v>
      </c>
      <c r="R1541" s="476" t="s">
        <v>23</v>
      </c>
      <c r="S1541" s="20" t="s">
        <v>24</v>
      </c>
      <c r="T1541" s="20" t="s">
        <v>25</v>
      </c>
      <c r="AM1541" s="375"/>
    </row>
    <row r="1542" spans="1:39" ht="51.75" customHeight="1" x14ac:dyDescent="0.25">
      <c r="A1542" s="602" t="s">
        <v>384</v>
      </c>
      <c r="B1542" s="17"/>
      <c r="C1542" s="377" t="s">
        <v>385</v>
      </c>
      <c r="D1542" s="19"/>
      <c r="E1542" s="26">
        <v>2025</v>
      </c>
      <c r="F1542" s="251">
        <v>5000</v>
      </c>
      <c r="G1542" s="22"/>
      <c r="H1542" s="22"/>
      <c r="I1542" s="22"/>
      <c r="J1542" s="22"/>
      <c r="K1542" s="22"/>
      <c r="L1542" s="22"/>
      <c r="M1542" s="22">
        <v>20000</v>
      </c>
      <c r="N1542" s="22"/>
      <c r="O1542" s="22">
        <v>52000</v>
      </c>
      <c r="P1542" s="22"/>
      <c r="Q1542" s="22"/>
      <c r="R1542" s="22"/>
      <c r="S1542" s="64">
        <f t="shared" ref="S1542:S1547" si="82">SUM(G1542:R1542)</f>
        <v>72000</v>
      </c>
      <c r="T1542" s="29">
        <f>SUM(F1542*IF(E1542=_current_year,_current_month,12)-(S1542))</f>
        <v>-12000</v>
      </c>
    </row>
    <row r="1543" spans="1:39" ht="51.75" customHeight="1" x14ac:dyDescent="0.25">
      <c r="A1543" s="603"/>
      <c r="B1543" s="17"/>
      <c r="C1543" s="379"/>
      <c r="D1543" s="19"/>
      <c r="E1543" s="30">
        <v>2024</v>
      </c>
      <c r="F1543" s="251">
        <v>3000</v>
      </c>
      <c r="G1543" s="22"/>
      <c r="H1543" s="22"/>
      <c r="I1543" s="22">
        <v>36000</v>
      </c>
      <c r="J1543" s="22">
        <v>22000</v>
      </c>
      <c r="K1543" s="22"/>
      <c r="L1543" s="22"/>
      <c r="M1543" s="22"/>
      <c r="N1543" s="22"/>
      <c r="O1543" s="22"/>
      <c r="P1543" s="22"/>
      <c r="Q1543" s="22"/>
      <c r="R1543" s="22"/>
      <c r="S1543" s="37">
        <f t="shared" si="82"/>
        <v>58000</v>
      </c>
      <c r="T1543" s="22">
        <f>SUM(F1543*IF(E1543=_current_year,_current_month,12)-(S1543))</f>
        <v>-22000</v>
      </c>
    </row>
    <row r="1544" spans="1:39" ht="51.75" customHeight="1" x14ac:dyDescent="0.25">
      <c r="A1544" s="603"/>
      <c r="B1544" s="17"/>
      <c r="C1544" s="379"/>
      <c r="D1544" s="19"/>
      <c r="E1544" s="30">
        <v>2023</v>
      </c>
      <c r="F1544" s="251">
        <v>3000</v>
      </c>
      <c r="G1544" s="22"/>
      <c r="H1544" s="22"/>
      <c r="I1544" s="22"/>
      <c r="J1544" s="22">
        <v>40000</v>
      </c>
      <c r="K1544" s="22"/>
      <c r="L1544" s="22"/>
      <c r="M1544" s="22"/>
      <c r="N1544" s="22"/>
      <c r="O1544" s="22"/>
      <c r="P1544" s="22"/>
      <c r="Q1544" s="22"/>
      <c r="R1544" s="22">
        <v>30000</v>
      </c>
      <c r="S1544" s="37">
        <f t="shared" si="82"/>
        <v>70000</v>
      </c>
      <c r="T1544" s="22">
        <f>SUM(F1544*12)-(S1544)</f>
        <v>-34000</v>
      </c>
    </row>
    <row r="1545" spans="1:39" s="220" customFormat="1" ht="48" customHeight="1" x14ac:dyDescent="0.4">
      <c r="A1545" s="603"/>
      <c r="B1545" s="33" t="s">
        <v>28</v>
      </c>
      <c r="C1545" s="380"/>
      <c r="D1545" s="35"/>
      <c r="E1545" s="30">
        <v>2022</v>
      </c>
      <c r="F1545" s="251">
        <v>3000</v>
      </c>
      <c r="G1545" s="36"/>
      <c r="H1545" s="36"/>
      <c r="I1545" s="36"/>
      <c r="J1545" s="36"/>
      <c r="K1545" s="36"/>
      <c r="L1545" s="36">
        <v>15000</v>
      </c>
      <c r="M1545" s="36"/>
      <c r="N1545" s="36"/>
      <c r="O1545" s="36"/>
      <c r="P1545" s="36"/>
      <c r="Q1545" s="36"/>
      <c r="R1545" s="36"/>
      <c r="S1545" s="37">
        <f t="shared" si="82"/>
        <v>15000</v>
      </c>
      <c r="T1545" s="37">
        <f>SUM(36000-S1545)</f>
        <v>21000</v>
      </c>
      <c r="AM1545" s="250"/>
    </row>
    <row r="1546" spans="1:39" s="220" customFormat="1" ht="52.5" customHeight="1" x14ac:dyDescent="0.4">
      <c r="A1546" s="603"/>
      <c r="B1546" s="33" t="s">
        <v>28</v>
      </c>
      <c r="C1546" s="38" t="s">
        <v>52</v>
      </c>
      <c r="D1546" s="124"/>
      <c r="E1546" s="30">
        <v>2021</v>
      </c>
      <c r="F1546" s="251">
        <v>3000</v>
      </c>
      <c r="G1546" s="482"/>
      <c r="H1546" s="482"/>
      <c r="I1546" s="482"/>
      <c r="J1546" s="482"/>
      <c r="K1546" s="482">
        <v>10000</v>
      </c>
      <c r="L1546" s="482"/>
      <c r="M1546" s="482"/>
      <c r="N1546" s="482"/>
      <c r="O1546" s="482"/>
      <c r="P1546" s="482"/>
      <c r="Q1546" s="482"/>
      <c r="R1546" s="482"/>
      <c r="S1546" s="252">
        <f t="shared" si="82"/>
        <v>10000</v>
      </c>
      <c r="T1546" s="252">
        <f>SUM(36000-S1546)</f>
        <v>26000</v>
      </c>
      <c r="AM1546" s="250"/>
    </row>
    <row r="1547" spans="1:39" s="258" customFormat="1" ht="52.5" customHeight="1" x14ac:dyDescent="0.45">
      <c r="A1547" s="313" t="s">
        <v>311</v>
      </c>
      <c r="B1547" s="381" t="s">
        <v>386</v>
      </c>
      <c r="C1547" s="125"/>
      <c r="D1547" s="126"/>
      <c r="E1547" s="513">
        <v>2020</v>
      </c>
      <c r="F1547" s="251">
        <v>3000</v>
      </c>
      <c r="G1547" s="516"/>
      <c r="H1547" s="516"/>
      <c r="I1547" s="516"/>
      <c r="J1547" s="516"/>
      <c r="K1547" s="516"/>
      <c r="L1547" s="516"/>
      <c r="M1547" s="516"/>
      <c r="N1547" s="516"/>
      <c r="O1547" s="516"/>
      <c r="P1547" s="516"/>
      <c r="Q1547" s="516"/>
      <c r="R1547" s="516"/>
      <c r="S1547" s="252">
        <f t="shared" si="82"/>
        <v>0</v>
      </c>
      <c r="T1547" s="257">
        <f>SUM(36000-S1547)</f>
        <v>36000</v>
      </c>
      <c r="AM1547" s="259"/>
    </row>
    <row r="1548" spans="1:39" s="258" customFormat="1" ht="52.5" customHeight="1" x14ac:dyDescent="0.45">
      <c r="A1548" s="313"/>
      <c r="B1548" s="381"/>
      <c r="C1548" s="125"/>
      <c r="D1548" s="126"/>
      <c r="E1548" s="513">
        <v>2019</v>
      </c>
      <c r="F1548" s="251"/>
      <c r="G1548" s="516"/>
      <c r="H1548" s="516"/>
      <c r="I1548" s="516"/>
      <c r="J1548" s="516"/>
      <c r="K1548" s="516"/>
      <c r="L1548" s="516"/>
      <c r="M1548" s="516"/>
      <c r="N1548" s="516"/>
      <c r="O1548" s="516"/>
      <c r="P1548" s="516"/>
      <c r="Q1548" s="516"/>
      <c r="R1548" s="553"/>
      <c r="S1548" s="252"/>
      <c r="T1548" s="257"/>
      <c r="AM1548" s="259"/>
    </row>
    <row r="1549" spans="1:39" s="258" customFormat="1" ht="52.5" customHeight="1" thickBot="1" x14ac:dyDescent="0.8">
      <c r="A1549" s="382"/>
      <c r="B1549" s="381"/>
      <c r="C1549" s="383"/>
      <c r="D1549" s="384"/>
      <c r="E1549" s="385"/>
      <c r="F1549" s="265"/>
      <c r="G1549" s="489"/>
      <c r="H1549" s="489"/>
      <c r="I1549" s="489"/>
      <c r="J1549" s="489"/>
      <c r="K1549" s="489"/>
      <c r="L1549" s="489"/>
      <c r="M1549" s="489"/>
      <c r="N1549" s="489"/>
      <c r="O1549" s="489"/>
      <c r="P1549" s="489"/>
      <c r="Q1549" s="489"/>
      <c r="R1549" s="489"/>
      <c r="S1549" s="178">
        <f>SUM(S1542:S1548)</f>
        <v>225000</v>
      </c>
      <c r="T1549" s="87">
        <f>SUM(T1542:T1548)</f>
        <v>15000</v>
      </c>
      <c r="AM1549" s="259"/>
    </row>
    <row r="1550" spans="1:39" s="258" customFormat="1" ht="52.5" customHeight="1" x14ac:dyDescent="0.45">
      <c r="A1550" s="486"/>
      <c r="B1550" s="388"/>
      <c r="C1550" s="487"/>
      <c r="D1550" s="488"/>
      <c r="F1550" s="253"/>
      <c r="G1550" s="512"/>
      <c r="H1550" s="512"/>
      <c r="I1550" s="512"/>
      <c r="J1550" s="512"/>
      <c r="K1550" s="512"/>
      <c r="L1550" s="512"/>
      <c r="M1550" s="512"/>
      <c r="N1550" s="512"/>
      <c r="O1550" s="512"/>
      <c r="P1550" s="512"/>
      <c r="Q1550" s="512"/>
      <c r="R1550" s="512"/>
      <c r="S1550" s="269"/>
      <c r="T1550" s="269"/>
      <c r="AM1550" s="259"/>
    </row>
    <row r="1551" spans="1:39" s="374" customFormat="1" ht="52.5" customHeight="1" x14ac:dyDescent="0.4">
      <c r="A1551" s="368" t="s">
        <v>6</v>
      </c>
      <c r="B1551" s="368" t="s">
        <v>7</v>
      </c>
      <c r="C1551" s="369" t="s">
        <v>8</v>
      </c>
      <c r="D1551" s="370" t="s">
        <v>231</v>
      </c>
      <c r="E1551" s="371" t="s">
        <v>10</v>
      </c>
      <c r="F1551" s="372" t="s">
        <v>11</v>
      </c>
      <c r="G1551" s="476" t="s">
        <v>12</v>
      </c>
      <c r="H1551" s="476" t="s">
        <v>13</v>
      </c>
      <c r="I1551" s="476" t="s">
        <v>14</v>
      </c>
      <c r="J1551" s="476" t="s">
        <v>15</v>
      </c>
      <c r="K1551" s="476" t="s">
        <v>16</v>
      </c>
      <c r="L1551" s="476" t="s">
        <v>17</v>
      </c>
      <c r="M1551" s="476" t="s">
        <v>18</v>
      </c>
      <c r="N1551" s="476" t="s">
        <v>19</v>
      </c>
      <c r="O1551" s="476" t="s">
        <v>20</v>
      </c>
      <c r="P1551" s="476" t="s">
        <v>21</v>
      </c>
      <c r="Q1551" s="476" t="s">
        <v>22</v>
      </c>
      <c r="R1551" s="476" t="s">
        <v>23</v>
      </c>
      <c r="S1551" s="20" t="s">
        <v>24</v>
      </c>
      <c r="T1551" s="20" t="s">
        <v>25</v>
      </c>
      <c r="AM1551" s="375"/>
    </row>
    <row r="1552" spans="1:39" ht="51.75" customHeight="1" x14ac:dyDescent="0.25">
      <c r="A1552" s="602" t="s">
        <v>387</v>
      </c>
      <c r="B1552" s="17"/>
      <c r="C1552" s="377" t="s">
        <v>388</v>
      </c>
      <c r="D1552" s="19"/>
      <c r="E1552" s="26">
        <v>2025</v>
      </c>
      <c r="F1552" s="251">
        <v>5000</v>
      </c>
      <c r="G1552" s="22"/>
      <c r="H1552" s="22"/>
      <c r="I1552" s="22"/>
      <c r="J1552" s="22"/>
      <c r="K1552" s="22"/>
      <c r="L1552" s="22"/>
      <c r="M1552" s="22"/>
      <c r="N1552" s="22"/>
      <c r="O1552" s="22">
        <v>42000</v>
      </c>
      <c r="P1552" s="22"/>
      <c r="Q1552" s="22"/>
      <c r="R1552" s="22"/>
      <c r="S1552" s="604">
        <f t="shared" ref="S1552:S1555" si="83">SUM(G1552:R1552)</f>
        <v>42000</v>
      </c>
      <c r="T1552" s="29">
        <f>SUM(F1552*IF(E1552=_current_year,_current_month,12)-(S1552))</f>
        <v>18000</v>
      </c>
    </row>
    <row r="1553" spans="1:39" ht="51.75" customHeight="1" x14ac:dyDescent="0.25">
      <c r="A1553" s="603"/>
      <c r="B1553" s="17"/>
      <c r="C1553" s="379"/>
      <c r="D1553" s="19"/>
      <c r="E1553" s="30">
        <v>2024</v>
      </c>
      <c r="F1553" s="251">
        <v>3000</v>
      </c>
      <c r="G1553" s="22"/>
      <c r="H1553" s="22">
        <v>108000</v>
      </c>
      <c r="I1553" s="22"/>
      <c r="J1553" s="22"/>
      <c r="K1553" s="22"/>
      <c r="L1553" s="22"/>
      <c r="M1553" s="22">
        <v>36000</v>
      </c>
      <c r="N1553" s="22"/>
      <c r="O1553" s="22"/>
      <c r="P1553" s="22"/>
      <c r="Q1553" s="22"/>
      <c r="R1553" s="22"/>
      <c r="S1553" s="252">
        <f t="shared" si="83"/>
        <v>144000</v>
      </c>
      <c r="T1553" s="22">
        <f>SUM(F1553*IF(E1553=_current_year,_current_month,12)-(S1553))</f>
        <v>-108000</v>
      </c>
    </row>
    <row r="1554" spans="1:39" ht="51.75" customHeight="1" x14ac:dyDescent="0.25">
      <c r="A1554" s="603"/>
      <c r="B1554" s="17"/>
      <c r="C1554" s="380"/>
      <c r="D1554" s="19"/>
      <c r="E1554" s="30">
        <v>2023</v>
      </c>
      <c r="F1554" s="251">
        <v>3000</v>
      </c>
      <c r="G1554" s="22"/>
      <c r="H1554" s="22"/>
      <c r="I1554" s="22"/>
      <c r="J1554" s="22"/>
      <c r="K1554" s="22"/>
      <c r="L1554" s="22"/>
      <c r="M1554" s="22"/>
      <c r="N1554" s="22"/>
      <c r="O1554" s="22"/>
      <c r="P1554" s="22"/>
      <c r="Q1554" s="22"/>
      <c r="R1554" s="22"/>
      <c r="S1554" s="252">
        <f t="shared" si="83"/>
        <v>0</v>
      </c>
      <c r="T1554" s="22">
        <f>SUM(F1554*IF(E1554=_current_year,_current_month,12)-(S1554))</f>
        <v>36000</v>
      </c>
    </row>
    <row r="1555" spans="1:39" s="220" customFormat="1" ht="48" customHeight="1" x14ac:dyDescent="0.4">
      <c r="A1555" s="603"/>
      <c r="B1555" s="33" t="s">
        <v>28</v>
      </c>
      <c r="C1555" s="34"/>
      <c r="D1555" s="35"/>
      <c r="E1555" s="30">
        <v>2022</v>
      </c>
      <c r="F1555" s="251">
        <v>3000</v>
      </c>
      <c r="G1555" s="36"/>
      <c r="H1555" s="36"/>
      <c r="I1555" s="36"/>
      <c r="J1555" s="36"/>
      <c r="K1555" s="36"/>
      <c r="L1555" s="563">
        <v>3000</v>
      </c>
      <c r="M1555" s="36"/>
      <c r="N1555" s="36"/>
      <c r="O1555" s="36"/>
      <c r="P1555" s="36"/>
      <c r="Q1555" s="36"/>
      <c r="R1555" s="36"/>
      <c r="S1555" s="252">
        <f t="shared" si="83"/>
        <v>3000</v>
      </c>
      <c r="T1555" s="252">
        <f>SUM(36000-S1555)</f>
        <v>33000</v>
      </c>
      <c r="AM1555" s="250"/>
    </row>
    <row r="1556" spans="1:39" s="220" customFormat="1" ht="52.5" customHeight="1" x14ac:dyDescent="0.4">
      <c r="A1556" s="603"/>
      <c r="B1556" s="33" t="s">
        <v>28</v>
      </c>
      <c r="C1556" s="38" t="s">
        <v>52</v>
      </c>
      <c r="D1556" s="124"/>
      <c r="E1556" s="30">
        <v>2021</v>
      </c>
      <c r="F1556" s="251">
        <v>3000</v>
      </c>
      <c r="G1556" s="553"/>
      <c r="H1556" s="482"/>
      <c r="I1556" s="482"/>
      <c r="J1556" s="482"/>
      <c r="K1556" s="482"/>
      <c r="L1556" s="482"/>
      <c r="M1556" s="482"/>
      <c r="N1556" s="482"/>
      <c r="O1556" s="482"/>
      <c r="P1556" s="482"/>
      <c r="Q1556" s="482"/>
      <c r="R1556" s="482"/>
      <c r="S1556" s="252">
        <f>SUM(G1556:R1556)</f>
        <v>0</v>
      </c>
      <c r="T1556" s="252">
        <f>SUM(36000-S1556)</f>
        <v>36000</v>
      </c>
      <c r="AM1556" s="250"/>
    </row>
    <row r="1557" spans="1:39" s="258" customFormat="1" ht="52.5" customHeight="1" x14ac:dyDescent="0.45">
      <c r="A1557" s="313" t="s">
        <v>311</v>
      </c>
      <c r="B1557" s="381" t="s">
        <v>389</v>
      </c>
      <c r="C1557" s="125"/>
      <c r="D1557" s="126"/>
      <c r="E1557" s="605"/>
      <c r="F1557" s="606"/>
      <c r="G1557" s="606"/>
      <c r="H1557" s="606"/>
      <c r="I1557" s="606"/>
      <c r="J1557" s="606"/>
      <c r="K1557" s="606"/>
      <c r="L1557" s="606"/>
      <c r="M1557" s="606"/>
      <c r="N1557" s="606"/>
      <c r="O1557" s="606"/>
      <c r="P1557" s="606"/>
      <c r="Q1557" s="606"/>
      <c r="R1557" s="606"/>
      <c r="S1557" s="606"/>
      <c r="T1557" s="607"/>
      <c r="AM1557" s="259"/>
    </row>
    <row r="1558" spans="1:39" s="258" customFormat="1" ht="52.5" customHeight="1" x14ac:dyDescent="0.45">
      <c r="A1558" s="313"/>
      <c r="B1558" s="381"/>
      <c r="C1558" s="125"/>
      <c r="D1558" s="126"/>
      <c r="E1558" s="608"/>
      <c r="F1558" s="609"/>
      <c r="G1558" s="609"/>
      <c r="H1558" s="609"/>
      <c r="I1558" s="609"/>
      <c r="J1558" s="609"/>
      <c r="K1558" s="609"/>
      <c r="L1558" s="609"/>
      <c r="M1558" s="609"/>
      <c r="N1558" s="609"/>
      <c r="O1558" s="609"/>
      <c r="P1558" s="609"/>
      <c r="Q1558" s="609"/>
      <c r="R1558" s="609"/>
      <c r="S1558" s="609"/>
      <c r="T1558" s="610"/>
      <c r="AM1558" s="259"/>
    </row>
    <row r="1559" spans="1:39" s="258" customFormat="1" ht="52.5" customHeight="1" thickBot="1" x14ac:dyDescent="0.5">
      <c r="A1559" s="486"/>
      <c r="B1559" s="388"/>
      <c r="C1559" s="487"/>
      <c r="D1559" s="488"/>
      <c r="E1559" s="385"/>
      <c r="F1559" s="265"/>
      <c r="G1559" s="489"/>
      <c r="H1559" s="489"/>
      <c r="I1559" s="489"/>
      <c r="J1559" s="489"/>
      <c r="K1559" s="489"/>
      <c r="L1559" s="489"/>
      <c r="M1559" s="489"/>
      <c r="N1559" s="489"/>
      <c r="O1559" s="489"/>
      <c r="P1559" s="489"/>
      <c r="Q1559" s="489"/>
      <c r="R1559" s="489"/>
      <c r="S1559" s="267">
        <f>SUM(S1552:S1558)</f>
        <v>189000</v>
      </c>
      <c r="T1559" s="268">
        <f>SUM(T1552:T1558)</f>
        <v>15000</v>
      </c>
      <c r="AM1559" s="259"/>
    </row>
    <row r="1560" spans="1:39" s="258" customFormat="1" ht="52.5" customHeight="1" x14ac:dyDescent="0.45">
      <c r="A1560" s="486"/>
      <c r="B1560" s="388"/>
      <c r="C1560" s="487"/>
      <c r="D1560" s="488"/>
      <c r="F1560" s="253"/>
      <c r="G1560" s="512"/>
      <c r="H1560" s="512"/>
      <c r="I1560" s="512"/>
      <c r="J1560" s="512"/>
      <c r="K1560" s="512"/>
      <c r="L1560" s="512"/>
      <c r="M1560" s="512"/>
      <c r="N1560" s="512"/>
      <c r="O1560" s="512"/>
      <c r="P1560" s="512"/>
      <c r="Q1560" s="512"/>
      <c r="R1560" s="512"/>
      <c r="S1560" s="269"/>
      <c r="T1560" s="269"/>
      <c r="AM1560" s="259"/>
    </row>
    <row r="1561" spans="1:39" s="374" customFormat="1" ht="52.5" customHeight="1" x14ac:dyDescent="0.4">
      <c r="A1561" s="368" t="s">
        <v>6</v>
      </c>
      <c r="B1561" s="368" t="s">
        <v>7</v>
      </c>
      <c r="C1561" s="369" t="s">
        <v>8</v>
      </c>
      <c r="D1561" s="370" t="s">
        <v>231</v>
      </c>
      <c r="E1561" s="371" t="s">
        <v>10</v>
      </c>
      <c r="F1561" s="372" t="s">
        <v>11</v>
      </c>
      <c r="G1561" s="476" t="s">
        <v>12</v>
      </c>
      <c r="H1561" s="476" t="s">
        <v>13</v>
      </c>
      <c r="I1561" s="476" t="s">
        <v>14</v>
      </c>
      <c r="J1561" s="476" t="s">
        <v>15</v>
      </c>
      <c r="K1561" s="476" t="s">
        <v>16</v>
      </c>
      <c r="L1561" s="476" t="s">
        <v>17</v>
      </c>
      <c r="M1561" s="476" t="s">
        <v>18</v>
      </c>
      <c r="N1561" s="476" t="s">
        <v>19</v>
      </c>
      <c r="O1561" s="476" t="s">
        <v>20</v>
      </c>
      <c r="P1561" s="476" t="s">
        <v>21</v>
      </c>
      <c r="Q1561" s="476" t="s">
        <v>22</v>
      </c>
      <c r="R1561" s="476" t="s">
        <v>23</v>
      </c>
      <c r="S1561" s="20" t="s">
        <v>24</v>
      </c>
      <c r="T1561" s="20" t="s">
        <v>25</v>
      </c>
      <c r="AM1561" s="375"/>
    </row>
    <row r="1562" spans="1:39" ht="51.75" customHeight="1" x14ac:dyDescent="0.25">
      <c r="A1562" s="602" t="s">
        <v>390</v>
      </c>
      <c r="B1562" s="17"/>
      <c r="C1562" s="377" t="s">
        <v>124</v>
      </c>
      <c r="D1562" s="19" t="str">
        <f>C1562</f>
        <v>VACANT</v>
      </c>
      <c r="E1562" s="26">
        <v>2025</v>
      </c>
      <c r="F1562" s="251"/>
      <c r="G1562" s="22"/>
      <c r="H1562" s="22"/>
      <c r="I1562" s="22"/>
      <c r="J1562" s="22"/>
      <c r="K1562" s="22"/>
      <c r="L1562" s="22"/>
      <c r="M1562" s="22"/>
      <c r="N1562" s="22"/>
      <c r="O1562" s="22"/>
      <c r="P1562" s="22"/>
      <c r="Q1562" s="22"/>
      <c r="R1562" s="22"/>
      <c r="S1562" s="64">
        <f>SUM(G1562:R1562)</f>
        <v>0</v>
      </c>
      <c r="T1562" s="29">
        <f>SUM(F1562*IF(E1562=_current_year,_current_month,12)-(S1562))</f>
        <v>0</v>
      </c>
    </row>
    <row r="1563" spans="1:39" ht="51.75" customHeight="1" x14ac:dyDescent="0.25">
      <c r="A1563" s="603"/>
      <c r="B1563" s="17"/>
      <c r="C1563" s="379"/>
      <c r="D1563" s="19"/>
      <c r="E1563" s="30">
        <v>2024</v>
      </c>
      <c r="F1563" s="251"/>
      <c r="G1563" s="22"/>
      <c r="H1563" s="22"/>
      <c r="I1563" s="22"/>
      <c r="J1563" s="22"/>
      <c r="K1563" s="22"/>
      <c r="L1563" s="22"/>
      <c r="M1563" s="22"/>
      <c r="N1563" s="22"/>
      <c r="O1563" s="22"/>
      <c r="P1563" s="22"/>
      <c r="Q1563" s="22"/>
      <c r="R1563" s="22"/>
      <c r="S1563" s="37">
        <f>SUM(G1563:R1563)</f>
        <v>0</v>
      </c>
      <c r="T1563" s="22">
        <f>SUM(F1563*IF(E1563=_current_year,_current_month,12)-(S1563))</f>
        <v>0</v>
      </c>
    </row>
    <row r="1564" spans="1:39" ht="51.75" customHeight="1" x14ac:dyDescent="0.25">
      <c r="A1564" s="603"/>
      <c r="B1564" s="17"/>
      <c r="C1564" s="379"/>
      <c r="D1564" s="19"/>
      <c r="E1564" s="30"/>
      <c r="F1564" s="251"/>
      <c r="G1564" s="22"/>
      <c r="H1564" s="22"/>
      <c r="I1564" s="22"/>
      <c r="J1564" s="22"/>
      <c r="K1564" s="22"/>
      <c r="L1564" s="22"/>
      <c r="M1564" s="22"/>
      <c r="N1564" s="22"/>
      <c r="O1564" s="22"/>
      <c r="P1564" s="22"/>
      <c r="Q1564" s="22"/>
      <c r="R1564" s="22"/>
      <c r="S1564" s="37"/>
      <c r="T1564" s="22"/>
    </row>
    <row r="1565" spans="1:39" s="220" customFormat="1" ht="48" customHeight="1" x14ac:dyDescent="0.4">
      <c r="A1565" s="603"/>
      <c r="B1565" s="33" t="s">
        <v>28</v>
      </c>
      <c r="C1565" s="380"/>
      <c r="D1565" s="35"/>
      <c r="E1565" s="30"/>
      <c r="F1565" s="251"/>
      <c r="G1565" s="36"/>
      <c r="H1565" s="36"/>
      <c r="I1565" s="36"/>
      <c r="J1565" s="36"/>
      <c r="K1565" s="36"/>
      <c r="L1565" s="36"/>
      <c r="M1565" s="36"/>
      <c r="N1565" s="36"/>
      <c r="O1565" s="36"/>
      <c r="P1565" s="36"/>
      <c r="Q1565" s="36"/>
      <c r="R1565" s="36"/>
      <c r="S1565" s="37"/>
      <c r="T1565" s="22"/>
      <c r="AM1565" s="250"/>
    </row>
    <row r="1566" spans="1:39" s="220" customFormat="1" ht="52.5" customHeight="1" x14ac:dyDescent="0.4">
      <c r="A1566" s="603"/>
      <c r="B1566" s="33" t="s">
        <v>28</v>
      </c>
      <c r="C1566" s="38" t="s">
        <v>52</v>
      </c>
      <c r="D1566" s="124"/>
      <c r="E1566" s="30"/>
      <c r="F1566" s="251"/>
      <c r="G1566" s="482"/>
      <c r="H1566" s="482"/>
      <c r="I1566" s="482"/>
      <c r="J1566" s="482"/>
      <c r="K1566" s="482"/>
      <c r="L1566" s="482"/>
      <c r="M1566" s="482"/>
      <c r="N1566" s="482"/>
      <c r="O1566" s="482"/>
      <c r="P1566" s="482"/>
      <c r="Q1566" s="482"/>
      <c r="R1566" s="482"/>
      <c r="S1566" s="252"/>
      <c r="T1566" s="22"/>
      <c r="AM1566" s="250"/>
    </row>
    <row r="1567" spans="1:39" s="258" customFormat="1" ht="52.5" customHeight="1" x14ac:dyDescent="0.45">
      <c r="A1567" s="313" t="s">
        <v>311</v>
      </c>
      <c r="B1567" s="592" t="s">
        <v>28</v>
      </c>
      <c r="C1567" s="125"/>
      <c r="D1567" s="126"/>
      <c r="E1567" s="513"/>
      <c r="F1567" s="251"/>
      <c r="G1567" s="516"/>
      <c r="H1567" s="516"/>
      <c r="I1567" s="516"/>
      <c r="J1567" s="516"/>
      <c r="K1567" s="516"/>
      <c r="L1567" s="516"/>
      <c r="M1567" s="516"/>
      <c r="N1567" s="516"/>
      <c r="O1567" s="516"/>
      <c r="P1567" s="516"/>
      <c r="Q1567" s="516"/>
      <c r="R1567" s="516"/>
      <c r="S1567" s="252"/>
      <c r="T1567" s="22"/>
      <c r="AM1567" s="259"/>
    </row>
    <row r="1568" spans="1:39" s="258" customFormat="1" ht="52.5" customHeight="1" x14ac:dyDescent="0.45">
      <c r="A1568" s="313"/>
      <c r="B1568" s="381"/>
      <c r="C1568" s="125"/>
      <c r="D1568" s="126"/>
      <c r="E1568" s="513"/>
      <c r="F1568" s="251"/>
      <c r="G1568" s="516"/>
      <c r="H1568" s="516"/>
      <c r="I1568" s="516"/>
      <c r="J1568" s="516"/>
      <c r="K1568" s="516"/>
      <c r="L1568" s="516"/>
      <c r="M1568" s="516"/>
      <c r="N1568" s="516"/>
      <c r="O1568" s="516"/>
      <c r="P1568" s="516"/>
      <c r="Q1568" s="516"/>
      <c r="R1568" s="516"/>
      <c r="S1568" s="252"/>
      <c r="T1568" s="22"/>
      <c r="AM1568" s="259"/>
    </row>
    <row r="1569" spans="1:39" s="258" customFormat="1" ht="52.5" customHeight="1" thickBot="1" x14ac:dyDescent="0.5">
      <c r="A1569" s="486"/>
      <c r="B1569" s="388"/>
      <c r="C1569" s="487"/>
      <c r="D1569" s="488"/>
      <c r="E1569" s="385"/>
      <c r="F1569" s="265"/>
      <c r="G1569" s="489"/>
      <c r="H1569" s="489"/>
      <c r="I1569" s="489"/>
      <c r="J1569" s="489"/>
      <c r="K1569" s="489"/>
      <c r="L1569" s="489"/>
      <c r="M1569" s="489"/>
      <c r="N1569" s="489"/>
      <c r="O1569" s="489"/>
      <c r="P1569" s="489"/>
      <c r="Q1569" s="489"/>
      <c r="R1569" s="489"/>
      <c r="S1569" s="178">
        <f>SUM(S1562:S1568)</f>
        <v>0</v>
      </c>
      <c r="T1569" s="87">
        <f>SUM(T1562:T1568)</f>
        <v>0</v>
      </c>
      <c r="AM1569" s="259"/>
    </row>
    <row r="1570" spans="1:39" s="258" customFormat="1" ht="52.5" customHeight="1" x14ac:dyDescent="0.45">
      <c r="A1570" s="486"/>
      <c r="B1570" s="388"/>
      <c r="C1570" s="487"/>
      <c r="D1570" s="488"/>
      <c r="E1570" s="385"/>
      <c r="F1570" s="264"/>
      <c r="G1570" s="484"/>
      <c r="H1570" s="484"/>
      <c r="I1570" s="484"/>
      <c r="J1570" s="484"/>
      <c r="K1570" s="484"/>
      <c r="L1570" s="484"/>
      <c r="M1570" s="484"/>
      <c r="N1570" s="484"/>
      <c r="O1570" s="484"/>
      <c r="P1570" s="484"/>
      <c r="Q1570" s="484"/>
      <c r="R1570" s="484"/>
      <c r="S1570" s="517"/>
      <c r="T1570" s="517"/>
      <c r="AM1570" s="259"/>
    </row>
    <row r="1571" spans="1:39" s="374" customFormat="1" ht="52.5" customHeight="1" x14ac:dyDescent="0.4">
      <c r="A1571" s="368" t="s">
        <v>6</v>
      </c>
      <c r="B1571" s="368" t="s">
        <v>7</v>
      </c>
      <c r="C1571" s="611" t="s">
        <v>8</v>
      </c>
      <c r="D1571" s="370" t="s">
        <v>231</v>
      </c>
      <c r="E1571" s="371" t="s">
        <v>10</v>
      </c>
      <c r="F1571" s="372" t="s">
        <v>11</v>
      </c>
      <c r="G1571" s="476" t="s">
        <v>12</v>
      </c>
      <c r="H1571" s="476" t="s">
        <v>13</v>
      </c>
      <c r="I1571" s="476" t="s">
        <v>14</v>
      </c>
      <c r="J1571" s="476" t="s">
        <v>15</v>
      </c>
      <c r="K1571" s="476" t="s">
        <v>16</v>
      </c>
      <c r="L1571" s="476" t="s">
        <v>17</v>
      </c>
      <c r="M1571" s="476" t="s">
        <v>18</v>
      </c>
      <c r="N1571" s="476" t="s">
        <v>19</v>
      </c>
      <c r="O1571" s="476" t="s">
        <v>20</v>
      </c>
      <c r="P1571" s="476" t="s">
        <v>21</v>
      </c>
      <c r="Q1571" s="476" t="s">
        <v>22</v>
      </c>
      <c r="R1571" s="476" t="s">
        <v>23</v>
      </c>
      <c r="S1571" s="20" t="s">
        <v>24</v>
      </c>
      <c r="T1571" s="20" t="s">
        <v>25</v>
      </c>
      <c r="AM1571" s="375"/>
    </row>
    <row r="1572" spans="1:39" ht="51.75" customHeight="1" x14ac:dyDescent="0.25">
      <c r="A1572" s="602" t="s">
        <v>391</v>
      </c>
      <c r="B1572" s="17"/>
      <c r="C1572" s="377" t="s">
        <v>392</v>
      </c>
      <c r="D1572" s="19"/>
      <c r="E1572" s="26">
        <v>2025</v>
      </c>
      <c r="F1572" s="251">
        <v>5000</v>
      </c>
      <c r="G1572" s="22"/>
      <c r="H1572" s="22"/>
      <c r="I1572" s="22"/>
      <c r="J1572" s="22"/>
      <c r="K1572" s="22"/>
      <c r="L1572" s="22"/>
      <c r="M1572" s="22">
        <v>39000</v>
      </c>
      <c r="N1572" s="22"/>
      <c r="O1572" s="22">
        <v>10000</v>
      </c>
      <c r="P1572" s="22"/>
      <c r="Q1572" s="22"/>
      <c r="R1572" s="22"/>
      <c r="S1572" s="64">
        <f t="shared" ref="S1572:S1577" si="84">SUM(G1572:R1572)</f>
        <v>49000</v>
      </c>
      <c r="T1572" s="29">
        <f>SUM(F1572*IF(E1572=_current_year,_current_month,12)-(S1572))</f>
        <v>11000</v>
      </c>
    </row>
    <row r="1573" spans="1:39" ht="51.75" customHeight="1" x14ac:dyDescent="0.25">
      <c r="A1573" s="603"/>
      <c r="B1573" s="17"/>
      <c r="C1573" s="379"/>
      <c r="D1573" s="19"/>
      <c r="E1573" s="30">
        <v>2024</v>
      </c>
      <c r="F1573" s="251">
        <v>3000</v>
      </c>
      <c r="G1573" s="22"/>
      <c r="H1573" s="22">
        <v>40000</v>
      </c>
      <c r="I1573" s="22"/>
      <c r="J1573" s="22">
        <v>66000</v>
      </c>
      <c r="K1573" s="22"/>
      <c r="L1573" s="22"/>
      <c r="M1573" s="22"/>
      <c r="N1573" s="22"/>
      <c r="O1573" s="22">
        <v>20000</v>
      </c>
      <c r="P1573" s="22"/>
      <c r="Q1573" s="22"/>
      <c r="R1573" s="22"/>
      <c r="S1573" s="37">
        <f t="shared" si="84"/>
        <v>126000</v>
      </c>
      <c r="T1573" s="22">
        <f>SUM(F1573*IF(E1573=_current_year,_current_month,12)-(S1573))</f>
        <v>-90000</v>
      </c>
    </row>
    <row r="1574" spans="1:39" ht="51.75" customHeight="1" x14ac:dyDescent="0.25">
      <c r="A1574" s="603"/>
      <c r="B1574" s="17"/>
      <c r="C1574" s="380"/>
      <c r="D1574" s="19"/>
      <c r="E1574" s="30">
        <v>2023</v>
      </c>
      <c r="F1574" s="251">
        <v>3000</v>
      </c>
      <c r="G1574" s="22"/>
      <c r="H1574" s="22"/>
      <c r="I1574" s="22"/>
      <c r="J1574" s="22">
        <v>30000</v>
      </c>
      <c r="K1574" s="22"/>
      <c r="L1574" s="22"/>
      <c r="M1574" s="22"/>
      <c r="N1574" s="22"/>
      <c r="O1574" s="22"/>
      <c r="P1574" s="22"/>
      <c r="Q1574" s="22"/>
      <c r="R1574" s="22"/>
      <c r="S1574" s="37">
        <f t="shared" si="84"/>
        <v>30000</v>
      </c>
      <c r="T1574" s="22">
        <f>SUM(F1574*12)-(S1574)</f>
        <v>6000</v>
      </c>
    </row>
    <row r="1575" spans="1:39" s="220" customFormat="1" ht="48" customHeight="1" x14ac:dyDescent="0.4">
      <c r="A1575" s="603"/>
      <c r="B1575" s="33" t="s">
        <v>28</v>
      </c>
      <c r="C1575" s="85" t="s">
        <v>393</v>
      </c>
      <c r="D1575" s="35"/>
      <c r="E1575" s="30">
        <v>2022</v>
      </c>
      <c r="F1575" s="251">
        <v>3000</v>
      </c>
      <c r="G1575" s="36"/>
      <c r="H1575" s="36"/>
      <c r="I1575" s="36"/>
      <c r="J1575" s="36"/>
      <c r="K1575" s="36"/>
      <c r="L1575" s="36">
        <v>12000</v>
      </c>
      <c r="M1575" s="36"/>
      <c r="N1575" s="36"/>
      <c r="O1575" s="36"/>
      <c r="P1575" s="36"/>
      <c r="Q1575" s="36"/>
      <c r="R1575" s="36"/>
      <c r="S1575" s="37">
        <f t="shared" si="84"/>
        <v>12000</v>
      </c>
      <c r="T1575" s="37">
        <f>SUM(36000-S1575)</f>
        <v>24000</v>
      </c>
      <c r="AM1575" s="250"/>
    </row>
    <row r="1576" spans="1:39" s="220" customFormat="1" ht="52.5" customHeight="1" x14ac:dyDescent="0.4">
      <c r="A1576" s="603"/>
      <c r="B1576" s="33" t="s">
        <v>28</v>
      </c>
      <c r="C1576" s="38" t="s">
        <v>52</v>
      </c>
      <c r="D1576" s="124"/>
      <c r="E1576" s="30">
        <v>2021</v>
      </c>
      <c r="F1576" s="251">
        <v>3000</v>
      </c>
      <c r="G1576" s="482"/>
      <c r="H1576" s="482"/>
      <c r="I1576" s="482"/>
      <c r="J1576" s="482"/>
      <c r="K1576" s="482"/>
      <c r="L1576" s="482"/>
      <c r="M1576" s="482"/>
      <c r="N1576" s="482"/>
      <c r="O1576" s="482"/>
      <c r="P1576" s="482"/>
      <c r="Q1576" s="482"/>
      <c r="R1576" s="482"/>
      <c r="S1576" s="252">
        <f t="shared" si="84"/>
        <v>0</v>
      </c>
      <c r="T1576" s="252">
        <f>SUM(36000-S1576)</f>
        <v>36000</v>
      </c>
      <c r="AM1576" s="250"/>
    </row>
    <row r="1577" spans="1:39" s="258" customFormat="1" ht="52.5" customHeight="1" x14ac:dyDescent="0.45">
      <c r="A1577" s="313" t="s">
        <v>311</v>
      </c>
      <c r="B1577" s="381" t="s">
        <v>394</v>
      </c>
      <c r="C1577" s="125"/>
      <c r="D1577" s="126"/>
      <c r="E1577" s="513">
        <v>2020</v>
      </c>
      <c r="F1577" s="251">
        <v>3000</v>
      </c>
      <c r="G1577" s="553"/>
      <c r="H1577" s="516"/>
      <c r="I1577" s="516"/>
      <c r="J1577" s="516">
        <v>5000</v>
      </c>
      <c r="K1577" s="516"/>
      <c r="L1577" s="516"/>
      <c r="M1577" s="516"/>
      <c r="N1577" s="516"/>
      <c r="O1577" s="516"/>
      <c r="P1577" s="516"/>
      <c r="Q1577" s="516"/>
      <c r="R1577" s="516"/>
      <c r="S1577" s="252">
        <f t="shared" si="84"/>
        <v>5000</v>
      </c>
      <c r="T1577" s="257">
        <f>SUM(33000-S1577)</f>
        <v>28000</v>
      </c>
      <c r="AM1577" s="259"/>
    </row>
    <row r="1578" spans="1:39" s="258" customFormat="1" ht="52.5" customHeight="1" x14ac:dyDescent="0.45">
      <c r="A1578" s="313"/>
      <c r="B1578" s="381"/>
      <c r="C1578" s="125"/>
      <c r="D1578" s="126"/>
      <c r="E1578" s="605"/>
      <c r="F1578" s="606"/>
      <c r="G1578" s="606"/>
      <c r="H1578" s="606"/>
      <c r="I1578" s="606"/>
      <c r="J1578" s="606"/>
      <c r="K1578" s="606"/>
      <c r="L1578" s="606"/>
      <c r="M1578" s="606"/>
      <c r="N1578" s="606"/>
      <c r="O1578" s="606"/>
      <c r="P1578" s="606"/>
      <c r="Q1578" s="606"/>
      <c r="R1578" s="606"/>
      <c r="S1578" s="606"/>
      <c r="T1578" s="607"/>
      <c r="AM1578" s="259"/>
    </row>
    <row r="1579" spans="1:39" s="258" customFormat="1" ht="52.5" customHeight="1" thickBot="1" x14ac:dyDescent="0.5">
      <c r="A1579" s="486"/>
      <c r="B1579" s="388"/>
      <c r="C1579" s="487"/>
      <c r="D1579" s="488"/>
      <c r="E1579" s="385"/>
      <c r="F1579" s="265"/>
      <c r="G1579" s="489"/>
      <c r="H1579" s="489"/>
      <c r="I1579" s="489"/>
      <c r="J1579" s="489"/>
      <c r="K1579" s="489"/>
      <c r="L1579" s="489"/>
      <c r="M1579" s="489"/>
      <c r="N1579" s="489"/>
      <c r="O1579" s="489"/>
      <c r="P1579" s="489"/>
      <c r="Q1579" s="489"/>
      <c r="R1579" s="489"/>
      <c r="S1579" s="178">
        <f>SUM(S1572:S1578)</f>
        <v>222000</v>
      </c>
      <c r="T1579" s="87">
        <f>SUM(T1572:T1578)</f>
        <v>15000</v>
      </c>
      <c r="AM1579" s="259"/>
    </row>
    <row r="1580" spans="1:39" s="258" customFormat="1" ht="52.5" customHeight="1" x14ac:dyDescent="0.45">
      <c r="A1580" s="486"/>
      <c r="B1580" s="388"/>
      <c r="C1580" s="487"/>
      <c r="D1580" s="488"/>
      <c r="E1580" s="385"/>
      <c r="F1580" s="264"/>
      <c r="G1580" s="484"/>
      <c r="H1580" s="484"/>
      <c r="I1580" s="484"/>
      <c r="J1580" s="484"/>
      <c r="K1580" s="484"/>
      <c r="L1580" s="484"/>
      <c r="M1580" s="484"/>
      <c r="N1580" s="484"/>
      <c r="O1580" s="484"/>
      <c r="P1580" s="484"/>
      <c r="Q1580" s="484"/>
      <c r="R1580" s="484"/>
      <c r="S1580" s="517"/>
      <c r="T1580" s="517"/>
      <c r="AM1580" s="259"/>
    </row>
    <row r="1581" spans="1:39" s="258" customFormat="1" ht="52.5" customHeight="1" x14ac:dyDescent="0.45">
      <c r="A1581" s="486"/>
      <c r="B1581" s="388"/>
      <c r="C1581" s="487"/>
      <c r="D1581" s="488"/>
      <c r="E1581" s="385"/>
      <c r="F1581" s="264"/>
      <c r="G1581" s="484"/>
      <c r="H1581" s="484"/>
      <c r="I1581" s="484"/>
      <c r="J1581" s="484"/>
      <c r="K1581" s="484"/>
      <c r="L1581" s="484"/>
      <c r="M1581" s="484"/>
      <c r="N1581" s="484"/>
      <c r="O1581" s="484"/>
      <c r="P1581" s="484"/>
      <c r="Q1581" s="484"/>
      <c r="R1581" s="484"/>
      <c r="S1581" s="286"/>
      <c r="T1581" s="286"/>
      <c r="AM1581" s="259"/>
    </row>
    <row r="1582" spans="1:39" s="374" customFormat="1" ht="52.5" customHeight="1" x14ac:dyDescent="0.4">
      <c r="A1582" s="368" t="s">
        <v>6</v>
      </c>
      <c r="B1582" s="368" t="s">
        <v>7</v>
      </c>
      <c r="C1582" s="369" t="s">
        <v>8</v>
      </c>
      <c r="D1582" s="370" t="s">
        <v>231</v>
      </c>
      <c r="E1582" s="371" t="s">
        <v>10</v>
      </c>
      <c r="F1582" s="372" t="s">
        <v>11</v>
      </c>
      <c r="G1582" s="476" t="s">
        <v>12</v>
      </c>
      <c r="H1582" s="476" t="s">
        <v>13</v>
      </c>
      <c r="I1582" s="476" t="s">
        <v>14</v>
      </c>
      <c r="J1582" s="476" t="s">
        <v>15</v>
      </c>
      <c r="K1582" s="476" t="s">
        <v>16</v>
      </c>
      <c r="L1582" s="476" t="s">
        <v>17</v>
      </c>
      <c r="M1582" s="476" t="s">
        <v>18</v>
      </c>
      <c r="N1582" s="476" t="s">
        <v>19</v>
      </c>
      <c r="O1582" s="476" t="s">
        <v>20</v>
      </c>
      <c r="P1582" s="476" t="s">
        <v>21</v>
      </c>
      <c r="Q1582" s="476" t="s">
        <v>22</v>
      </c>
      <c r="R1582" s="476" t="s">
        <v>23</v>
      </c>
      <c r="S1582" s="20" t="s">
        <v>24</v>
      </c>
      <c r="T1582" s="20" t="s">
        <v>25</v>
      </c>
      <c r="AM1582" s="375"/>
    </row>
    <row r="1583" spans="1:39" ht="51.75" customHeight="1" x14ac:dyDescent="0.25">
      <c r="A1583" s="602" t="s">
        <v>395</v>
      </c>
      <c r="B1583" s="17"/>
      <c r="C1583" s="598" t="s">
        <v>124</v>
      </c>
      <c r="D1583" s="19" t="str">
        <f ca="1">glb19cf2_name</f>
        <v>VACANT</v>
      </c>
      <c r="E1583" s="26">
        <v>2025</v>
      </c>
      <c r="F1583" s="251"/>
      <c r="G1583" s="22"/>
      <c r="H1583" s="22"/>
      <c r="I1583" s="22"/>
      <c r="J1583" s="22"/>
      <c r="K1583" s="22"/>
      <c r="L1583" s="22"/>
      <c r="M1583" s="22"/>
      <c r="N1583" s="22"/>
      <c r="O1583" s="22"/>
      <c r="P1583" s="22"/>
      <c r="Q1583" s="22"/>
      <c r="R1583" s="22"/>
      <c r="S1583" s="604">
        <f t="shared" ref="S1583:S1587" si="85">SUM(G1583:R1583)</f>
        <v>0</v>
      </c>
      <c r="T1583" s="29">
        <f>SUM(F1583*IF(E1583=_current_year,_current_month,12)-(S1583))</f>
        <v>0</v>
      </c>
    </row>
    <row r="1584" spans="1:39" ht="51.75" customHeight="1" x14ac:dyDescent="0.25">
      <c r="A1584" s="603"/>
      <c r="B1584" s="17"/>
      <c r="C1584" s="612"/>
      <c r="D1584" s="19"/>
      <c r="E1584" s="30">
        <v>2024</v>
      </c>
      <c r="F1584" s="251"/>
      <c r="G1584" s="22"/>
      <c r="H1584" s="22"/>
      <c r="I1584" s="22"/>
      <c r="J1584" s="22"/>
      <c r="K1584" s="22"/>
      <c r="L1584" s="22"/>
      <c r="M1584" s="22"/>
      <c r="N1584" s="22"/>
      <c r="O1584" s="22"/>
      <c r="P1584" s="22"/>
      <c r="Q1584" s="22"/>
      <c r="R1584" s="22"/>
      <c r="S1584" s="252">
        <f t="shared" si="85"/>
        <v>0</v>
      </c>
      <c r="T1584" s="22">
        <f>SUM(F1584*IF(E1584=_current_year,_current_month,12)-(S1584))</f>
        <v>0</v>
      </c>
    </row>
    <row r="1585" spans="1:39" ht="51.75" customHeight="1" x14ac:dyDescent="0.25">
      <c r="A1585" s="603"/>
      <c r="B1585" s="17"/>
      <c r="C1585" s="599"/>
      <c r="D1585" s="19"/>
      <c r="E1585" s="30"/>
      <c r="F1585" s="251"/>
      <c r="G1585" s="22"/>
      <c r="H1585" s="22"/>
      <c r="I1585" s="22"/>
      <c r="J1585" s="22"/>
      <c r="K1585" s="22"/>
      <c r="L1585" s="22"/>
      <c r="M1585" s="22"/>
      <c r="N1585" s="22"/>
      <c r="O1585" s="22"/>
      <c r="P1585" s="22"/>
      <c r="Q1585" s="22"/>
      <c r="R1585" s="22"/>
      <c r="S1585" s="252">
        <f t="shared" si="85"/>
        <v>0</v>
      </c>
      <c r="T1585" s="22">
        <f>SUM(F1585*IF(E1585=_current_year,_current_month,12)-(S1585))</f>
        <v>0</v>
      </c>
    </row>
    <row r="1586" spans="1:39" s="220" customFormat="1" ht="48" customHeight="1" x14ac:dyDescent="0.4">
      <c r="A1586" s="313" t="s">
        <v>311</v>
      </c>
      <c r="B1586" s="33" t="s">
        <v>28</v>
      </c>
      <c r="C1586" s="38" t="s">
        <v>52</v>
      </c>
      <c r="D1586" s="35"/>
      <c r="E1586" s="30"/>
      <c r="F1586" s="251"/>
      <c r="G1586" s="36"/>
      <c r="H1586" s="36"/>
      <c r="I1586" s="36"/>
      <c r="J1586" s="36"/>
      <c r="K1586" s="36"/>
      <c r="L1586" s="36"/>
      <c r="M1586" s="36"/>
      <c r="N1586" s="36"/>
      <c r="O1586" s="36"/>
      <c r="P1586" s="36"/>
      <c r="Q1586" s="36"/>
      <c r="R1586" s="36"/>
      <c r="S1586" s="252">
        <f t="shared" si="85"/>
        <v>0</v>
      </c>
      <c r="T1586" s="22">
        <f>SUM(F1586*IF(E1586=_current_year,_current_month,12)-(S1586))</f>
        <v>0</v>
      </c>
      <c r="AM1586" s="250"/>
    </row>
    <row r="1587" spans="1:39" s="220" customFormat="1" ht="52.5" customHeight="1" x14ac:dyDescent="0.4">
      <c r="A1587" s="313"/>
      <c r="B1587" s="33" t="s">
        <v>28</v>
      </c>
      <c r="C1587" s="125"/>
      <c r="D1587" s="59"/>
      <c r="E1587" s="30"/>
      <c r="F1587" s="251"/>
      <c r="G1587" s="482"/>
      <c r="H1587" s="482"/>
      <c r="I1587" s="482"/>
      <c r="J1587" s="482"/>
      <c r="K1587" s="482"/>
      <c r="L1587" s="482"/>
      <c r="M1587" s="482"/>
      <c r="N1587" s="482"/>
      <c r="O1587" s="482"/>
      <c r="P1587" s="482"/>
      <c r="Q1587" s="482"/>
      <c r="R1587" s="482"/>
      <c r="S1587" s="252">
        <f t="shared" si="85"/>
        <v>0</v>
      </c>
      <c r="T1587" s="22">
        <f>SUM(F1587*IF(E1587=_current_year,_current_month,12)-(S1587))</f>
        <v>0</v>
      </c>
      <c r="AM1587" s="250"/>
    </row>
    <row r="1588" spans="1:39" s="258" customFormat="1" ht="52.5" customHeight="1" thickBot="1" x14ac:dyDescent="0.5">
      <c r="A1588" s="486"/>
      <c r="B1588" s="388"/>
      <c r="C1588" s="487"/>
      <c r="D1588" s="488"/>
      <c r="E1588" s="385"/>
      <c r="F1588" s="265"/>
      <c r="G1588" s="489"/>
      <c r="H1588" s="489" t="s">
        <v>59</v>
      </c>
      <c r="I1588" s="489"/>
      <c r="J1588" s="489"/>
      <c r="K1588" s="489"/>
      <c r="L1588" s="489"/>
      <c r="M1588" s="489"/>
      <c r="N1588" s="489"/>
      <c r="O1588" s="489"/>
      <c r="P1588" s="489"/>
      <c r="Q1588" s="489"/>
      <c r="R1588" s="489"/>
      <c r="S1588" s="178">
        <f>SUM(S1583:S1587)</f>
        <v>0</v>
      </c>
      <c r="T1588" s="87">
        <f>SUM(T1583:T1587)</f>
        <v>0</v>
      </c>
      <c r="AM1588" s="259"/>
    </row>
    <row r="1589" spans="1:39" s="258" customFormat="1" ht="52.5" customHeight="1" x14ac:dyDescent="0.45">
      <c r="A1589" s="486"/>
      <c r="B1589" s="388"/>
      <c r="C1589" s="487"/>
      <c r="D1589" s="488"/>
      <c r="F1589" s="253"/>
      <c r="G1589" s="512"/>
      <c r="H1589" s="512"/>
      <c r="I1589" s="512"/>
      <c r="J1589" s="512"/>
      <c r="K1589" s="512"/>
      <c r="L1589" s="512"/>
      <c r="M1589" s="512"/>
      <c r="N1589" s="512"/>
      <c r="O1589" s="512"/>
      <c r="P1589" s="512"/>
      <c r="Q1589" s="512"/>
      <c r="R1589" s="512"/>
      <c r="S1589" s="269"/>
      <c r="T1589" s="269"/>
      <c r="AM1589" s="259"/>
    </row>
    <row r="1590" spans="1:39" s="374" customFormat="1" ht="52.5" customHeight="1" x14ac:dyDescent="0.4">
      <c r="A1590" s="368" t="s">
        <v>6</v>
      </c>
      <c r="B1590" s="368" t="s">
        <v>7</v>
      </c>
      <c r="C1590" s="369" t="s">
        <v>8</v>
      </c>
      <c r="D1590" s="370" t="s">
        <v>231</v>
      </c>
      <c r="E1590" s="371" t="s">
        <v>10</v>
      </c>
      <c r="F1590" s="372" t="s">
        <v>11</v>
      </c>
      <c r="G1590" s="476" t="s">
        <v>12</v>
      </c>
      <c r="H1590" s="476" t="s">
        <v>13</v>
      </c>
      <c r="I1590" s="476" t="s">
        <v>14</v>
      </c>
      <c r="J1590" s="476" t="s">
        <v>15</v>
      </c>
      <c r="K1590" s="476" t="s">
        <v>16</v>
      </c>
      <c r="L1590" s="476" t="s">
        <v>17</v>
      </c>
      <c r="M1590" s="476" t="s">
        <v>18</v>
      </c>
      <c r="N1590" s="476" t="s">
        <v>19</v>
      </c>
      <c r="O1590" s="476" t="s">
        <v>20</v>
      </c>
      <c r="P1590" s="476" t="s">
        <v>21</v>
      </c>
      <c r="Q1590" s="476" t="s">
        <v>22</v>
      </c>
      <c r="R1590" s="476" t="s">
        <v>23</v>
      </c>
      <c r="S1590" s="20" t="s">
        <v>24</v>
      </c>
      <c r="T1590" s="20" t="s">
        <v>25</v>
      </c>
      <c r="AM1590" s="375"/>
    </row>
    <row r="1591" spans="1:39" ht="51.75" customHeight="1" x14ac:dyDescent="0.25">
      <c r="A1591" s="562"/>
      <c r="B1591" s="17"/>
      <c r="C1591" s="377" t="s">
        <v>396</v>
      </c>
      <c r="D1591" s="19"/>
      <c r="E1591" s="26">
        <v>2025</v>
      </c>
      <c r="F1591" s="251">
        <v>5000</v>
      </c>
      <c r="G1591" s="22"/>
      <c r="H1591" s="22"/>
      <c r="I1591" s="22"/>
      <c r="J1591" s="22"/>
      <c r="K1591" s="22"/>
      <c r="L1591" s="22"/>
      <c r="M1591" s="22"/>
      <c r="N1591" s="22">
        <v>35000</v>
      </c>
      <c r="O1591" s="22"/>
      <c r="P1591" s="22"/>
      <c r="Q1591" s="22"/>
      <c r="R1591" s="22"/>
      <c r="S1591" s="64">
        <f t="shared" ref="S1591:S1601" si="86">SUM(G1591:R1591)</f>
        <v>35000</v>
      </c>
      <c r="T1591" s="29">
        <f>SUM(F1591*IF(E1591=_current_year,_current_month,12)-(S1591))</f>
        <v>25000</v>
      </c>
    </row>
    <row r="1592" spans="1:39" ht="51.75" customHeight="1" x14ac:dyDescent="0.25">
      <c r="A1592" s="602" t="s">
        <v>397</v>
      </c>
      <c r="B1592" s="17"/>
      <c r="C1592" s="380"/>
      <c r="D1592" s="19"/>
      <c r="E1592" s="30">
        <v>2024</v>
      </c>
      <c r="F1592" s="251">
        <v>3000</v>
      </c>
      <c r="G1592" s="22"/>
      <c r="H1592" s="22"/>
      <c r="I1592" s="22"/>
      <c r="J1592" s="22">
        <v>253000</v>
      </c>
      <c r="K1592" s="22"/>
      <c r="L1592" s="22"/>
      <c r="M1592" s="22"/>
      <c r="N1592" s="22"/>
      <c r="O1592" s="22"/>
      <c r="P1592" s="22"/>
      <c r="Q1592" s="22"/>
      <c r="R1592" s="22"/>
      <c r="S1592" s="37">
        <f t="shared" si="86"/>
        <v>253000</v>
      </c>
      <c r="T1592" s="22">
        <f>SUM(F1592*IF(E1592=_current_year,_current_month,12)-(S1592))</f>
        <v>-217000</v>
      </c>
    </row>
    <row r="1593" spans="1:39" ht="51.75" customHeight="1" x14ac:dyDescent="0.6">
      <c r="A1593" s="603"/>
      <c r="B1593" s="17"/>
      <c r="C1593" s="571" t="s">
        <v>398</v>
      </c>
      <c r="D1593" s="19"/>
      <c r="E1593" s="30">
        <v>2023</v>
      </c>
      <c r="F1593" s="251">
        <v>3000</v>
      </c>
      <c r="G1593" s="36"/>
      <c r="I1593" s="36"/>
      <c r="J1593" s="36"/>
      <c r="K1593" s="36"/>
      <c r="L1593" s="36"/>
      <c r="M1593" s="36"/>
      <c r="N1593" s="36"/>
      <c r="O1593" s="36"/>
      <c r="P1593" s="36"/>
      <c r="Q1593" s="36"/>
      <c r="R1593" s="36"/>
      <c r="S1593" s="37">
        <f t="shared" si="86"/>
        <v>0</v>
      </c>
      <c r="T1593" s="37">
        <f t="shared" ref="T1593:T1600" si="87">SUM(36000-S1593)</f>
        <v>36000</v>
      </c>
    </row>
    <row r="1594" spans="1:39" s="220" customFormat="1" ht="48" customHeight="1" x14ac:dyDescent="0.4">
      <c r="A1594" s="603"/>
      <c r="B1594" s="33" t="s">
        <v>28</v>
      </c>
      <c r="C1594" s="34"/>
      <c r="D1594" s="35"/>
      <c r="E1594" s="30">
        <v>2022</v>
      </c>
      <c r="F1594" s="251">
        <v>3000</v>
      </c>
      <c r="G1594" s="36"/>
      <c r="H1594" s="36"/>
      <c r="I1594" s="36"/>
      <c r="J1594" s="36"/>
      <c r="K1594" s="36"/>
      <c r="L1594" s="36"/>
      <c r="M1594" s="36"/>
      <c r="N1594" s="36"/>
      <c r="O1594" s="36"/>
      <c r="P1594" s="36"/>
      <c r="Q1594" s="36"/>
      <c r="R1594" s="36"/>
      <c r="S1594" s="37">
        <f t="shared" si="86"/>
        <v>0</v>
      </c>
      <c r="T1594" s="37">
        <f t="shared" si="87"/>
        <v>36000</v>
      </c>
      <c r="AM1594" s="250"/>
    </row>
    <row r="1595" spans="1:39" s="220" customFormat="1" ht="52.5" customHeight="1" x14ac:dyDescent="0.4">
      <c r="A1595" s="603"/>
      <c r="B1595" s="33" t="s">
        <v>28</v>
      </c>
      <c r="C1595" s="38" t="s">
        <v>52</v>
      </c>
      <c r="D1595" s="124"/>
      <c r="E1595" s="30">
        <v>2021</v>
      </c>
      <c r="F1595" s="251">
        <v>3000</v>
      </c>
      <c r="G1595" s="482"/>
      <c r="H1595" s="613">
        <v>35000</v>
      </c>
      <c r="I1595" s="482"/>
      <c r="J1595" s="482"/>
      <c r="K1595" s="482"/>
      <c r="L1595" s="482"/>
      <c r="M1595" s="482"/>
      <c r="N1595" s="482"/>
      <c r="O1595" s="482"/>
      <c r="P1595" s="482"/>
      <c r="Q1595" s="482"/>
      <c r="R1595" s="482"/>
      <c r="S1595" s="252">
        <f t="shared" si="86"/>
        <v>35000</v>
      </c>
      <c r="T1595" s="252">
        <f t="shared" si="87"/>
        <v>1000</v>
      </c>
      <c r="AM1595" s="250"/>
    </row>
    <row r="1596" spans="1:39" s="258" customFormat="1" ht="52.5" customHeight="1" x14ac:dyDescent="0.45">
      <c r="A1596" s="313" t="s">
        <v>311</v>
      </c>
      <c r="B1596" s="381" t="s">
        <v>399</v>
      </c>
      <c r="C1596" s="125"/>
      <c r="D1596" s="126"/>
      <c r="E1596" s="513">
        <v>2020</v>
      </c>
      <c r="F1596" s="251">
        <v>3000</v>
      </c>
      <c r="G1596" s="516"/>
      <c r="H1596" s="516"/>
      <c r="I1596" s="516"/>
      <c r="J1596" s="516"/>
      <c r="K1596" s="516">
        <v>10000</v>
      </c>
      <c r="L1596" s="516"/>
      <c r="M1596" s="516"/>
      <c r="N1596" s="516"/>
      <c r="O1596" s="516"/>
      <c r="P1596" s="516"/>
      <c r="Q1596" s="516">
        <v>10000</v>
      </c>
      <c r="R1596" s="516"/>
      <c r="S1596" s="252">
        <f t="shared" si="86"/>
        <v>20000</v>
      </c>
      <c r="T1596" s="257">
        <f t="shared" si="87"/>
        <v>16000</v>
      </c>
      <c r="AM1596" s="259"/>
    </row>
    <row r="1597" spans="1:39" s="258" customFormat="1" ht="52.5" customHeight="1" x14ac:dyDescent="0.45">
      <c r="A1597" s="313"/>
      <c r="B1597" s="388"/>
      <c r="C1597" s="125"/>
      <c r="D1597" s="126"/>
      <c r="E1597" s="513">
        <v>2019</v>
      </c>
      <c r="F1597" s="251">
        <v>3000</v>
      </c>
      <c r="G1597" s="516"/>
      <c r="H1597" s="516"/>
      <c r="I1597" s="516"/>
      <c r="J1597" s="516"/>
      <c r="K1597" s="516"/>
      <c r="L1597" s="516"/>
      <c r="M1597" s="613">
        <v>5000</v>
      </c>
      <c r="N1597" s="516"/>
      <c r="O1597" s="516"/>
      <c r="P1597" s="516"/>
      <c r="Q1597" s="516"/>
      <c r="R1597" s="516"/>
      <c r="S1597" s="252">
        <f t="shared" si="86"/>
        <v>5000</v>
      </c>
      <c r="T1597" s="257">
        <f t="shared" si="87"/>
        <v>31000</v>
      </c>
      <c r="AM1597" s="259"/>
    </row>
    <row r="1598" spans="1:39" s="258" customFormat="1" ht="52.5" customHeight="1" x14ac:dyDescent="0.45">
      <c r="A1598" s="595"/>
      <c r="B1598" s="388"/>
      <c r="C1598" s="125"/>
      <c r="D1598" s="126"/>
      <c r="E1598" s="513">
        <v>2018</v>
      </c>
      <c r="F1598" s="251">
        <v>3000</v>
      </c>
      <c r="G1598" s="516"/>
      <c r="H1598" s="516"/>
      <c r="I1598" s="516"/>
      <c r="J1598" s="516"/>
      <c r="K1598" s="516"/>
      <c r="L1598" s="516"/>
      <c r="M1598" s="516"/>
      <c r="N1598" s="516"/>
      <c r="O1598" s="516"/>
      <c r="P1598" s="516"/>
      <c r="Q1598" s="516"/>
      <c r="R1598" s="516"/>
      <c r="S1598" s="252">
        <f t="shared" si="86"/>
        <v>0</v>
      </c>
      <c r="T1598" s="257">
        <f t="shared" si="87"/>
        <v>36000</v>
      </c>
      <c r="AM1598" s="259"/>
    </row>
    <row r="1599" spans="1:39" s="258" customFormat="1" ht="52.5" customHeight="1" x14ac:dyDescent="0.45">
      <c r="A1599" s="543"/>
      <c r="B1599" s="388"/>
      <c r="C1599" s="125"/>
      <c r="D1599" s="126"/>
      <c r="E1599" s="513">
        <v>2017</v>
      </c>
      <c r="F1599" s="251">
        <v>3000</v>
      </c>
      <c r="G1599" s="516">
        <v>3000</v>
      </c>
      <c r="H1599" s="516">
        <v>3000</v>
      </c>
      <c r="I1599" s="516">
        <v>3000</v>
      </c>
      <c r="J1599" s="516">
        <v>3000</v>
      </c>
      <c r="K1599" s="516">
        <v>3000</v>
      </c>
      <c r="L1599" s="516">
        <v>3000</v>
      </c>
      <c r="M1599" s="516">
        <v>3000</v>
      </c>
      <c r="N1599" s="516"/>
      <c r="O1599" s="535"/>
      <c r="P1599" s="535"/>
      <c r="Q1599" s="535"/>
      <c r="R1599" s="535"/>
      <c r="S1599" s="252">
        <f t="shared" si="86"/>
        <v>21000</v>
      </c>
      <c r="T1599" s="257">
        <f t="shared" si="87"/>
        <v>15000</v>
      </c>
      <c r="AM1599" s="259"/>
    </row>
    <row r="1600" spans="1:39" s="258" customFormat="1" ht="52.5" customHeight="1" x14ac:dyDescent="0.45">
      <c r="A1600" s="543"/>
      <c r="B1600" s="388"/>
      <c r="C1600" s="125"/>
      <c r="D1600" s="126"/>
      <c r="E1600" s="513">
        <v>2016</v>
      </c>
      <c r="F1600" s="251">
        <v>3000</v>
      </c>
      <c r="G1600" s="514"/>
      <c r="H1600" s="514"/>
      <c r="I1600" s="514"/>
      <c r="J1600" s="514"/>
      <c r="K1600" s="514"/>
      <c r="L1600" s="514"/>
      <c r="M1600" s="514"/>
      <c r="N1600" s="514"/>
      <c r="O1600" s="514"/>
      <c r="P1600" s="514"/>
      <c r="Q1600" s="514"/>
      <c r="R1600" s="514"/>
      <c r="S1600" s="252">
        <f t="shared" si="86"/>
        <v>0</v>
      </c>
      <c r="T1600" s="257">
        <f t="shared" si="87"/>
        <v>36000</v>
      </c>
      <c r="AM1600" s="259"/>
    </row>
    <row r="1601" spans="1:39" s="258" customFormat="1" ht="52.5" customHeight="1" x14ac:dyDescent="0.45">
      <c r="A1601" s="544"/>
      <c r="B1601" s="388"/>
      <c r="C1601" s="129"/>
      <c r="D1601" s="130"/>
      <c r="E1601" s="513">
        <v>2015</v>
      </c>
      <c r="F1601" s="251">
        <v>3000</v>
      </c>
      <c r="G1601" s="514"/>
      <c r="H1601" s="514"/>
      <c r="I1601" s="514"/>
      <c r="J1601" s="514"/>
      <c r="K1601" s="514"/>
      <c r="L1601" s="514"/>
      <c r="M1601" s="514"/>
      <c r="N1601" s="514"/>
      <c r="O1601" s="514"/>
      <c r="P1601" s="514"/>
      <c r="Q1601" s="514"/>
      <c r="R1601" s="614"/>
      <c r="S1601" s="252">
        <f t="shared" si="86"/>
        <v>0</v>
      </c>
      <c r="T1601" s="252">
        <f>SUM(H1601:S1601)</f>
        <v>0</v>
      </c>
      <c r="AM1601" s="259"/>
    </row>
    <row r="1602" spans="1:39" s="258" customFormat="1" ht="52.5" customHeight="1" thickBot="1" x14ac:dyDescent="0.5">
      <c r="A1602" s="486"/>
      <c r="B1602" s="388"/>
      <c r="C1602" s="487"/>
      <c r="D1602" s="488"/>
      <c r="E1602" s="385"/>
      <c r="F1602" s="265"/>
      <c r="G1602" s="489"/>
      <c r="H1602" s="489"/>
      <c r="I1602" s="489"/>
      <c r="J1602" s="489"/>
      <c r="K1602" s="489"/>
      <c r="L1602" s="489"/>
      <c r="M1602" s="489"/>
      <c r="N1602" s="489"/>
      <c r="O1602" s="489"/>
      <c r="P1602" s="489"/>
      <c r="Q1602" s="489"/>
      <c r="R1602" s="489"/>
      <c r="S1602" s="178">
        <f>SUM(S1592:S1601)</f>
        <v>334000</v>
      </c>
      <c r="T1602" s="87">
        <f>SUM(T1591:T1601)</f>
        <v>15000</v>
      </c>
      <c r="AM1602" s="259"/>
    </row>
    <row r="1603" spans="1:39" s="258" customFormat="1" ht="52.5" customHeight="1" x14ac:dyDescent="0.45">
      <c r="A1603" s="486"/>
      <c r="B1603" s="388"/>
      <c r="C1603" s="487"/>
      <c r="D1603" s="488"/>
      <c r="F1603" s="253"/>
      <c r="G1603" s="512"/>
      <c r="H1603" s="512"/>
      <c r="I1603" s="512"/>
      <c r="J1603" s="512"/>
      <c r="K1603" s="512"/>
      <c r="L1603" s="512"/>
      <c r="M1603" s="512"/>
      <c r="N1603" s="512"/>
      <c r="O1603" s="512"/>
      <c r="P1603" s="512"/>
      <c r="Q1603" s="512"/>
      <c r="R1603" s="512"/>
      <c r="S1603" s="269"/>
      <c r="T1603" s="269"/>
      <c r="AM1603" s="259"/>
    </row>
    <row r="1604" spans="1:39" s="374" customFormat="1" ht="52.5" customHeight="1" x14ac:dyDescent="0.4">
      <c r="A1604" s="368" t="s">
        <v>6</v>
      </c>
      <c r="B1604" s="368" t="s">
        <v>7</v>
      </c>
      <c r="C1604" s="369" t="s">
        <v>8</v>
      </c>
      <c r="D1604" s="370" t="s">
        <v>231</v>
      </c>
      <c r="E1604" s="371" t="s">
        <v>10</v>
      </c>
      <c r="F1604" s="372" t="s">
        <v>11</v>
      </c>
      <c r="G1604" s="476" t="s">
        <v>12</v>
      </c>
      <c r="H1604" s="476" t="s">
        <v>13</v>
      </c>
      <c r="I1604" s="476" t="s">
        <v>14</v>
      </c>
      <c r="J1604" s="476" t="s">
        <v>15</v>
      </c>
      <c r="K1604" s="476" t="s">
        <v>16</v>
      </c>
      <c r="L1604" s="476" t="s">
        <v>17</v>
      </c>
      <c r="M1604" s="476" t="s">
        <v>18</v>
      </c>
      <c r="N1604" s="476" t="s">
        <v>19</v>
      </c>
      <c r="O1604" s="476" t="s">
        <v>20</v>
      </c>
      <c r="P1604" s="476" t="s">
        <v>21</v>
      </c>
      <c r="Q1604" s="476" t="s">
        <v>22</v>
      </c>
      <c r="R1604" s="476" t="s">
        <v>23</v>
      </c>
      <c r="S1604" s="20" t="s">
        <v>24</v>
      </c>
      <c r="T1604" s="20" t="s">
        <v>25</v>
      </c>
      <c r="AM1604" s="375"/>
    </row>
    <row r="1605" spans="1:39" ht="51.75" customHeight="1" x14ac:dyDescent="0.25">
      <c r="A1605" s="615" t="s">
        <v>400</v>
      </c>
      <c r="B1605" s="17"/>
      <c r="C1605" s="598" t="s">
        <v>401</v>
      </c>
      <c r="D1605" s="19"/>
      <c r="E1605" s="26">
        <v>2025</v>
      </c>
      <c r="F1605" s="251">
        <v>5000</v>
      </c>
      <c r="G1605" s="22"/>
      <c r="H1605" s="22"/>
      <c r="I1605" s="22"/>
      <c r="J1605" s="22"/>
      <c r="K1605" s="22"/>
      <c r="L1605" s="22"/>
      <c r="M1605" s="22">
        <v>50000</v>
      </c>
      <c r="N1605" s="22"/>
      <c r="O1605" s="22"/>
      <c r="P1605" s="22"/>
      <c r="Q1605" s="22"/>
      <c r="R1605" s="22"/>
      <c r="S1605" s="64">
        <f>SUM(G1605:R1605)</f>
        <v>50000</v>
      </c>
      <c r="T1605" s="29">
        <f>SUM(F1605*IF(E1605=_current_year,_current_month,12)-(S1605))</f>
        <v>10000</v>
      </c>
    </row>
    <row r="1606" spans="1:39" ht="51.75" customHeight="1" x14ac:dyDescent="0.25">
      <c r="A1606" s="616"/>
      <c r="B1606" s="17"/>
      <c r="C1606" s="599"/>
      <c r="D1606" s="19"/>
      <c r="E1606" s="30">
        <v>2024</v>
      </c>
      <c r="F1606" s="251">
        <v>3000</v>
      </c>
      <c r="G1606" s="22"/>
      <c r="H1606" s="22">
        <v>72000</v>
      </c>
      <c r="I1606" s="22"/>
      <c r="J1606" s="22">
        <v>15000</v>
      </c>
      <c r="K1606" s="22"/>
      <c r="L1606" s="22"/>
      <c r="M1606" s="22"/>
      <c r="N1606" s="22"/>
      <c r="O1606" s="22"/>
      <c r="P1606" s="22"/>
      <c r="Q1606" s="22"/>
      <c r="R1606" s="22"/>
      <c r="S1606" s="37">
        <f>SUM(G1606:R1606)</f>
        <v>87000</v>
      </c>
      <c r="T1606" s="22">
        <f>SUM(F1606*IF(E1606=_current_year,_current_month,12)-(S1606))</f>
        <v>-51000</v>
      </c>
    </row>
    <row r="1607" spans="1:39" ht="51.75" customHeight="1" x14ac:dyDescent="0.25">
      <c r="A1607" s="616"/>
      <c r="B1607" s="17"/>
      <c r="C1607" s="571" t="s">
        <v>402</v>
      </c>
      <c r="D1607" s="19"/>
      <c r="E1607" s="30">
        <v>2023</v>
      </c>
      <c r="F1607" s="251">
        <v>3000</v>
      </c>
      <c r="G1607" s="617"/>
      <c r="H1607" s="22"/>
      <c r="I1607" s="22"/>
      <c r="J1607" s="22"/>
      <c r="K1607" s="22"/>
      <c r="L1607" s="22"/>
      <c r="M1607" s="22"/>
      <c r="N1607" s="22"/>
      <c r="O1607" s="22"/>
      <c r="P1607" s="22"/>
      <c r="Q1607" s="22"/>
      <c r="R1607" s="22"/>
      <c r="S1607" s="37">
        <f>SUM(G1607:R1607)</f>
        <v>0</v>
      </c>
      <c r="T1607" s="22">
        <f>SUM(F1607*12)-(S1607)</f>
        <v>36000</v>
      </c>
    </row>
    <row r="1608" spans="1:39" s="220" customFormat="1" ht="48" customHeight="1" x14ac:dyDescent="0.4">
      <c r="A1608" s="616"/>
      <c r="B1608" s="33" t="s">
        <v>28</v>
      </c>
      <c r="C1608" s="34"/>
      <c r="D1608" s="35"/>
      <c r="E1608" s="30">
        <v>2022</v>
      </c>
      <c r="F1608" s="251">
        <v>3000</v>
      </c>
      <c r="G1608" s="67">
        <f ca="1">SUM(G1608:R1608)</f>
        <v>0</v>
      </c>
      <c r="H1608" s="360"/>
      <c r="I1608" s="360"/>
      <c r="J1608" s="360"/>
      <c r="K1608" s="360"/>
      <c r="L1608" s="360"/>
      <c r="M1608" s="360"/>
      <c r="N1608" s="360"/>
      <c r="O1608" s="360"/>
      <c r="P1608" s="360"/>
      <c r="Q1608" s="360"/>
      <c r="R1608" s="360"/>
      <c r="S1608" s="360"/>
      <c r="T1608" s="361"/>
      <c r="AM1608" s="250"/>
    </row>
    <row r="1609" spans="1:39" s="220" customFormat="1" ht="52.5" customHeight="1" x14ac:dyDescent="0.4">
      <c r="A1609" s="313" t="s">
        <v>311</v>
      </c>
      <c r="B1609" s="33" t="s">
        <v>28</v>
      </c>
      <c r="C1609" s="38" t="s">
        <v>52</v>
      </c>
      <c r="D1609" s="124"/>
      <c r="E1609" s="30">
        <v>2021</v>
      </c>
      <c r="F1609" s="251">
        <v>3000</v>
      </c>
      <c r="G1609" s="362"/>
      <c r="H1609" s="363"/>
      <c r="I1609" s="363"/>
      <c r="J1609" s="363"/>
      <c r="K1609" s="363"/>
      <c r="L1609" s="363"/>
      <c r="M1609" s="363"/>
      <c r="N1609" s="363"/>
      <c r="O1609" s="363"/>
      <c r="P1609" s="363"/>
      <c r="Q1609" s="363"/>
      <c r="R1609" s="363"/>
      <c r="S1609" s="363"/>
      <c r="T1609" s="364"/>
      <c r="AM1609" s="250"/>
    </row>
    <row r="1610" spans="1:39" s="258" customFormat="1" ht="52.5" customHeight="1" x14ac:dyDescent="0.45">
      <c r="A1610" s="313"/>
      <c r="B1610" s="381" t="s">
        <v>28</v>
      </c>
      <c r="C1610" s="125"/>
      <c r="D1610" s="126"/>
      <c r="E1610" s="385"/>
      <c r="F1610" s="276"/>
      <c r="G1610" s="484"/>
      <c r="H1610" s="484"/>
      <c r="I1610" s="484"/>
      <c r="J1610" s="484"/>
      <c r="K1610" s="484"/>
      <c r="L1610" s="484"/>
      <c r="M1610" s="484"/>
      <c r="N1610" s="484"/>
      <c r="O1610" s="484"/>
      <c r="P1610" s="484"/>
      <c r="Q1610" s="484"/>
      <c r="R1610" s="484"/>
      <c r="S1610" s="275"/>
      <c r="T1610" s="286"/>
      <c r="AM1610" s="259"/>
    </row>
    <row r="1611" spans="1:39" s="258" customFormat="1" ht="52.5" customHeight="1" thickBot="1" x14ac:dyDescent="0.8">
      <c r="A1611" s="382"/>
      <c r="B1611" s="381"/>
      <c r="C1611" s="383"/>
      <c r="D1611" s="384"/>
      <c r="E1611" s="385"/>
      <c r="F1611" s="265"/>
      <c r="G1611" s="489"/>
      <c r="H1611" s="489"/>
      <c r="I1611" s="489"/>
      <c r="J1611" s="489"/>
      <c r="K1611" s="489"/>
      <c r="L1611" s="489"/>
      <c r="M1611" s="489"/>
      <c r="N1611" s="489"/>
      <c r="O1611" s="489"/>
      <c r="P1611" s="489"/>
      <c r="Q1611" s="489"/>
      <c r="R1611" s="489"/>
      <c r="S1611" s="267">
        <f>SUM(S1605:S1610)</f>
        <v>137000</v>
      </c>
      <c r="T1611" s="268">
        <f>SUM(T1605:T1610)</f>
        <v>-5000</v>
      </c>
      <c r="AM1611" s="259"/>
    </row>
    <row r="1612" spans="1:39" s="258" customFormat="1" ht="52.5" customHeight="1" x14ac:dyDescent="0.75">
      <c r="A1612" s="382"/>
      <c r="B1612" s="381"/>
      <c r="C1612" s="383"/>
      <c r="D1612" s="384"/>
      <c r="F1612" s="253"/>
      <c r="G1612" s="512"/>
      <c r="H1612" s="512"/>
      <c r="I1612" s="512"/>
      <c r="J1612" s="512"/>
      <c r="K1612" s="512"/>
      <c r="L1612" s="512"/>
      <c r="M1612" s="512"/>
      <c r="N1612" s="512"/>
      <c r="O1612" s="512"/>
      <c r="P1612" s="512"/>
      <c r="Q1612" s="512"/>
      <c r="R1612" s="512"/>
      <c r="S1612" s="269"/>
      <c r="T1612" s="269"/>
      <c r="AM1612" s="259"/>
    </row>
    <row r="1613" spans="1:39" s="374" customFormat="1" ht="52.5" customHeight="1" x14ac:dyDescent="0.4">
      <c r="A1613" s="368" t="s">
        <v>6</v>
      </c>
      <c r="B1613" s="368" t="s">
        <v>7</v>
      </c>
      <c r="C1613" s="369" t="s">
        <v>8</v>
      </c>
      <c r="D1613" s="370" t="s">
        <v>231</v>
      </c>
      <c r="E1613" s="371" t="s">
        <v>10</v>
      </c>
      <c r="F1613" s="372" t="s">
        <v>11</v>
      </c>
      <c r="G1613" s="476" t="s">
        <v>12</v>
      </c>
      <c r="H1613" s="476" t="s">
        <v>13</v>
      </c>
      <c r="I1613" s="476" t="s">
        <v>14</v>
      </c>
      <c r="J1613" s="476" t="s">
        <v>15</v>
      </c>
      <c r="K1613" s="476" t="s">
        <v>16</v>
      </c>
      <c r="L1613" s="476" t="s">
        <v>17</v>
      </c>
      <c r="M1613" s="476" t="s">
        <v>18</v>
      </c>
      <c r="N1613" s="476" t="s">
        <v>19</v>
      </c>
      <c r="O1613" s="476" t="s">
        <v>20</v>
      </c>
      <c r="P1613" s="476" t="s">
        <v>21</v>
      </c>
      <c r="Q1613" s="476" t="s">
        <v>22</v>
      </c>
      <c r="R1613" s="476" t="s">
        <v>23</v>
      </c>
      <c r="S1613" s="20" t="s">
        <v>24</v>
      </c>
      <c r="T1613" s="20" t="s">
        <v>25</v>
      </c>
      <c r="AM1613" s="375"/>
    </row>
    <row r="1614" spans="1:39" ht="51.75" customHeight="1" x14ac:dyDescent="0.25">
      <c r="A1614" s="615" t="s">
        <v>403</v>
      </c>
      <c r="B1614" s="17"/>
      <c r="C1614" s="377" t="s">
        <v>404</v>
      </c>
      <c r="D1614" s="19"/>
      <c r="E1614" s="26">
        <v>2025</v>
      </c>
      <c r="F1614" s="251">
        <v>5000</v>
      </c>
      <c r="G1614" s="22"/>
      <c r="H1614" s="22"/>
      <c r="I1614" s="22"/>
      <c r="J1614" s="22"/>
      <c r="K1614" s="22"/>
      <c r="L1614" s="22"/>
      <c r="M1614" s="22"/>
      <c r="N1614" s="22"/>
      <c r="O1614" s="22"/>
      <c r="P1614" s="22"/>
      <c r="Q1614" s="22"/>
      <c r="R1614" s="22"/>
      <c r="S1614" s="64">
        <f t="shared" ref="S1614:S1620" si="88">SUM(G1614:R1614)</f>
        <v>0</v>
      </c>
      <c r="T1614" s="29">
        <f>SUM(F1614*IF(E1614=_current_year,_current_month,12)-(S1614))</f>
        <v>60000</v>
      </c>
    </row>
    <row r="1615" spans="1:39" ht="51.75" customHeight="1" x14ac:dyDescent="0.25">
      <c r="A1615" s="616"/>
      <c r="B1615" s="17"/>
      <c r="C1615" s="379"/>
      <c r="D1615" s="19"/>
      <c r="E1615" s="30">
        <v>2024</v>
      </c>
      <c r="F1615" s="251">
        <v>3000</v>
      </c>
      <c r="G1615" s="22"/>
      <c r="H1615" s="22"/>
      <c r="I1615" s="22"/>
      <c r="J1615" s="22"/>
      <c r="K1615" s="22"/>
      <c r="L1615" s="22"/>
      <c r="M1615" s="22"/>
      <c r="N1615" s="22"/>
      <c r="O1615" s="22"/>
      <c r="P1615" s="22"/>
      <c r="Q1615" s="22"/>
      <c r="R1615" s="22"/>
      <c r="S1615" s="37">
        <f t="shared" si="88"/>
        <v>0</v>
      </c>
      <c r="T1615" s="22">
        <f>SUM(F1615*IF(E1615=_current_year,_current_month,12)-(S1615))</f>
        <v>36000</v>
      </c>
    </row>
    <row r="1616" spans="1:39" ht="51.75" customHeight="1" x14ac:dyDescent="0.25">
      <c r="A1616" s="616"/>
      <c r="B1616" s="17"/>
      <c r="C1616" s="380"/>
      <c r="D1616" s="19"/>
      <c r="E1616" s="30">
        <v>2023</v>
      </c>
      <c r="F1616" s="251">
        <v>3000</v>
      </c>
      <c r="G1616" s="22"/>
      <c r="H1616" s="22"/>
      <c r="I1616" s="22"/>
      <c r="J1616" s="22"/>
      <c r="K1616" s="22"/>
      <c r="L1616" s="22"/>
      <c r="M1616" s="22"/>
      <c r="N1616" s="22"/>
      <c r="O1616" s="22"/>
      <c r="P1616" s="22"/>
      <c r="Q1616" s="22"/>
      <c r="R1616" s="22"/>
      <c r="S1616" s="37">
        <f t="shared" si="88"/>
        <v>0</v>
      </c>
      <c r="T1616" s="22">
        <f>SUM(F1616*IF(E1616=_current_year,_current_month,12)-(S1616))</f>
        <v>36000</v>
      </c>
    </row>
    <row r="1617" spans="1:39" s="220" customFormat="1" ht="48" customHeight="1" x14ac:dyDescent="0.4">
      <c r="A1617" s="616"/>
      <c r="B1617" s="33" t="s">
        <v>28</v>
      </c>
      <c r="C1617" s="34"/>
      <c r="D1617" s="35"/>
      <c r="E1617" s="30">
        <v>2022</v>
      </c>
      <c r="F1617" s="251">
        <v>3000</v>
      </c>
      <c r="G1617" s="36"/>
      <c r="H1617" s="36"/>
      <c r="I1617" s="36"/>
      <c r="J1617" s="36"/>
      <c r="K1617" s="36"/>
      <c r="L1617" s="36"/>
      <c r="M1617" s="36"/>
      <c r="N1617" s="36"/>
      <c r="O1617" s="36"/>
      <c r="P1617" s="36"/>
      <c r="Q1617" s="36"/>
      <c r="R1617" s="36"/>
      <c r="S1617" s="37">
        <f t="shared" si="88"/>
        <v>0</v>
      </c>
      <c r="T1617" s="37">
        <f>SUM(60000-S1617)</f>
        <v>60000</v>
      </c>
      <c r="AM1617" s="250"/>
    </row>
    <row r="1618" spans="1:39" s="220" customFormat="1" ht="52.5" customHeight="1" x14ac:dyDescent="0.4">
      <c r="A1618" s="313" t="s">
        <v>311</v>
      </c>
      <c r="B1618" s="33" t="s">
        <v>28</v>
      </c>
      <c r="C1618" s="38" t="s">
        <v>52</v>
      </c>
      <c r="D1618" s="124"/>
      <c r="E1618" s="30">
        <v>2021</v>
      </c>
      <c r="F1618" s="251">
        <v>3000</v>
      </c>
      <c r="G1618" s="482"/>
      <c r="H1618" s="482"/>
      <c r="I1618" s="482"/>
      <c r="J1618" s="482"/>
      <c r="K1618" s="482"/>
      <c r="L1618" s="482"/>
      <c r="M1618" s="482"/>
      <c r="N1618" s="482"/>
      <c r="O1618" s="482"/>
      <c r="P1618" s="482"/>
      <c r="Q1618" s="482"/>
      <c r="R1618" s="482"/>
      <c r="S1618" s="252">
        <f t="shared" si="88"/>
        <v>0</v>
      </c>
      <c r="T1618" s="252">
        <f>SUM(36000-S1618)</f>
        <v>36000</v>
      </c>
      <c r="AM1618" s="250"/>
    </row>
    <row r="1619" spans="1:39" s="258" customFormat="1" ht="52.5" customHeight="1" x14ac:dyDescent="0.45">
      <c r="A1619" s="313"/>
      <c r="B1619" s="381" t="s">
        <v>93</v>
      </c>
      <c r="C1619" s="125"/>
      <c r="D1619" s="126"/>
      <c r="E1619" s="513">
        <v>2020</v>
      </c>
      <c r="F1619" s="251">
        <v>3000</v>
      </c>
      <c r="G1619" s="516"/>
      <c r="H1619" s="516"/>
      <c r="I1619" s="516"/>
      <c r="J1619" s="516"/>
      <c r="K1619" s="516">
        <v>36000</v>
      </c>
      <c r="L1619" s="516"/>
      <c r="M1619" s="516"/>
      <c r="N1619" s="516"/>
      <c r="O1619" s="516"/>
      <c r="P1619" s="516"/>
      <c r="Q1619" s="516"/>
      <c r="R1619" s="516"/>
      <c r="S1619" s="252">
        <f t="shared" si="88"/>
        <v>36000</v>
      </c>
      <c r="T1619" s="257">
        <f>SUM(36000-S1619)</f>
        <v>0</v>
      </c>
      <c r="AM1619" s="259"/>
    </row>
    <row r="1620" spans="1:39" s="258" customFormat="1" ht="52.5" customHeight="1" x14ac:dyDescent="0.45">
      <c r="A1620" s="618"/>
      <c r="B1620" s="381"/>
      <c r="C1620" s="125"/>
      <c r="D1620" s="126"/>
      <c r="E1620" s="513">
        <v>2019</v>
      </c>
      <c r="F1620" s="251">
        <v>3000</v>
      </c>
      <c r="G1620" s="516"/>
      <c r="H1620" s="516"/>
      <c r="I1620" s="516"/>
      <c r="J1620" s="516"/>
      <c r="K1620" s="516"/>
      <c r="L1620" s="516"/>
      <c r="M1620" s="516"/>
      <c r="N1620" s="516"/>
      <c r="O1620" s="516"/>
      <c r="P1620" s="516"/>
      <c r="Q1620" s="516"/>
      <c r="R1620" s="516">
        <v>10000</v>
      </c>
      <c r="S1620" s="252">
        <f t="shared" si="88"/>
        <v>10000</v>
      </c>
      <c r="T1620" s="257">
        <f>SUM(36000-S1620)</f>
        <v>26000</v>
      </c>
      <c r="AM1620" s="259"/>
    </row>
    <row r="1621" spans="1:39" s="258" customFormat="1" ht="52.5" customHeight="1" thickBot="1" x14ac:dyDescent="0.8">
      <c r="A1621" s="382"/>
      <c r="B1621" s="381"/>
      <c r="C1621" s="383"/>
      <c r="D1621" s="384"/>
      <c r="E1621" s="385"/>
      <c r="F1621" s="265"/>
      <c r="G1621" s="489"/>
      <c r="H1621" s="489"/>
      <c r="I1621" s="489"/>
      <c r="J1621" s="489"/>
      <c r="K1621" s="489"/>
      <c r="L1621" s="489"/>
      <c r="M1621" s="489"/>
      <c r="N1621" s="489"/>
      <c r="O1621" s="489"/>
      <c r="P1621" s="489"/>
      <c r="Q1621" s="489"/>
      <c r="R1621" s="489"/>
      <c r="S1621" s="178">
        <f>SUM(S1614:S1620)</f>
        <v>46000</v>
      </c>
      <c r="T1621" s="87">
        <f>SUM(T1614:T1620)</f>
        <v>254000</v>
      </c>
      <c r="AM1621" s="259"/>
    </row>
    <row r="1622" spans="1:39" s="258" customFormat="1" ht="52.5" customHeight="1" x14ac:dyDescent="0.75">
      <c r="A1622" s="382"/>
      <c r="B1622" s="381"/>
      <c r="C1622" s="383"/>
      <c r="D1622" s="384"/>
      <c r="E1622" s="385"/>
      <c r="F1622" s="264"/>
      <c r="G1622" s="484"/>
      <c r="H1622" s="484"/>
      <c r="I1622" s="484"/>
      <c r="J1622" s="484"/>
      <c r="K1622" s="484"/>
      <c r="L1622" s="484"/>
      <c r="M1622" s="484"/>
      <c r="N1622" s="484"/>
      <c r="O1622" s="484"/>
      <c r="P1622" s="484"/>
      <c r="Q1622" s="484"/>
      <c r="R1622" s="484"/>
      <c r="S1622" s="286"/>
      <c r="T1622" s="286"/>
      <c r="AM1622" s="259"/>
    </row>
    <row r="1623" spans="1:39" s="374" customFormat="1" ht="52.5" customHeight="1" x14ac:dyDescent="0.4">
      <c r="A1623" s="368" t="s">
        <v>6</v>
      </c>
      <c r="B1623" s="368" t="s">
        <v>7</v>
      </c>
      <c r="C1623" s="369" t="s">
        <v>8</v>
      </c>
      <c r="D1623" s="370" t="s">
        <v>231</v>
      </c>
      <c r="E1623" s="371" t="s">
        <v>10</v>
      </c>
      <c r="F1623" s="372" t="s">
        <v>11</v>
      </c>
      <c r="G1623" s="476" t="s">
        <v>12</v>
      </c>
      <c r="H1623" s="476" t="s">
        <v>13</v>
      </c>
      <c r="I1623" s="476" t="s">
        <v>14</v>
      </c>
      <c r="J1623" s="476" t="s">
        <v>15</v>
      </c>
      <c r="K1623" s="476" t="s">
        <v>16</v>
      </c>
      <c r="L1623" s="476" t="s">
        <v>17</v>
      </c>
      <c r="M1623" s="476" t="s">
        <v>18</v>
      </c>
      <c r="N1623" s="476" t="s">
        <v>19</v>
      </c>
      <c r="O1623" s="476" t="s">
        <v>20</v>
      </c>
      <c r="P1623" s="476" t="s">
        <v>21</v>
      </c>
      <c r="Q1623" s="476" t="s">
        <v>22</v>
      </c>
      <c r="R1623" s="476" t="s">
        <v>23</v>
      </c>
      <c r="S1623" s="20" t="s">
        <v>24</v>
      </c>
      <c r="T1623" s="20" t="s">
        <v>25</v>
      </c>
      <c r="AM1623" s="375"/>
    </row>
    <row r="1624" spans="1:39" ht="51.75" customHeight="1" x14ac:dyDescent="0.25">
      <c r="A1624" s="615" t="s">
        <v>405</v>
      </c>
      <c r="B1624" s="17"/>
      <c r="C1624" s="598" t="s">
        <v>406</v>
      </c>
      <c r="D1624" s="19"/>
      <c r="E1624" s="26">
        <v>2025</v>
      </c>
      <c r="F1624" s="251">
        <v>3000</v>
      </c>
      <c r="G1624" s="22"/>
      <c r="H1624" s="22">
        <v>36000</v>
      </c>
      <c r="I1624" s="22"/>
      <c r="J1624" s="22"/>
      <c r="K1624" s="22"/>
      <c r="L1624" s="22"/>
      <c r="M1624" s="22"/>
      <c r="N1624" s="22"/>
      <c r="O1624" s="22"/>
      <c r="P1624" s="22"/>
      <c r="Q1624" s="22"/>
      <c r="R1624" s="22"/>
      <c r="S1624" s="64">
        <f t="shared" ref="S1624:S1630" si="89">SUM(G1624:R1624)</f>
        <v>36000</v>
      </c>
      <c r="T1624" s="29">
        <f>SUM(F1624*IF(E1624=_current_year,_current_month,12)-(S1624))</f>
        <v>0</v>
      </c>
    </row>
    <row r="1625" spans="1:39" ht="51.75" customHeight="1" x14ac:dyDescent="0.25">
      <c r="A1625" s="616"/>
      <c r="B1625" s="17"/>
      <c r="C1625" s="612"/>
      <c r="D1625" s="19"/>
      <c r="E1625" s="30">
        <v>2024</v>
      </c>
      <c r="F1625" s="251">
        <v>3000</v>
      </c>
      <c r="G1625" s="22">
        <v>36000</v>
      </c>
      <c r="H1625" s="22"/>
      <c r="I1625" s="22"/>
      <c r="J1625" s="22"/>
      <c r="K1625" s="22"/>
      <c r="L1625" s="22"/>
      <c r="M1625" s="22"/>
      <c r="N1625" s="22"/>
      <c r="O1625" s="22"/>
      <c r="P1625" s="22"/>
      <c r="Q1625" s="22"/>
      <c r="R1625" s="22"/>
      <c r="S1625" s="37">
        <f t="shared" si="89"/>
        <v>36000</v>
      </c>
      <c r="T1625" s="22">
        <f>SUM(F1625*IF(E1625=_current_year,_current_month,12)-(S1625))</f>
        <v>0</v>
      </c>
    </row>
    <row r="1626" spans="1:39" ht="51.75" customHeight="1" x14ac:dyDescent="0.25">
      <c r="A1626" s="616"/>
      <c r="B1626" s="17"/>
      <c r="C1626" s="599"/>
      <c r="D1626" s="19"/>
      <c r="E1626" s="30">
        <v>2023</v>
      </c>
      <c r="F1626" s="251">
        <v>3000</v>
      </c>
      <c r="G1626" s="22"/>
      <c r="H1626" s="22">
        <v>39000</v>
      </c>
      <c r="I1626" s="22"/>
      <c r="J1626" s="22"/>
      <c r="K1626" s="22"/>
      <c r="L1626" s="22"/>
      <c r="M1626" s="22"/>
      <c r="N1626" s="22"/>
      <c r="O1626" s="22"/>
      <c r="P1626" s="22"/>
      <c r="Q1626" s="22"/>
      <c r="R1626" s="22"/>
      <c r="S1626" s="37">
        <f t="shared" si="89"/>
        <v>39000</v>
      </c>
      <c r="T1626" s="22">
        <f>SUM(F1626*12)-(S1626)</f>
        <v>-3000</v>
      </c>
    </row>
    <row r="1627" spans="1:39" s="220" customFormat="1" ht="48" customHeight="1" x14ac:dyDescent="0.4">
      <c r="A1627" s="616"/>
      <c r="B1627" s="33" t="s">
        <v>28</v>
      </c>
      <c r="C1627" s="34"/>
      <c r="D1627" s="35"/>
      <c r="E1627" s="30">
        <v>2022</v>
      </c>
      <c r="F1627" s="251">
        <v>3000</v>
      </c>
      <c r="G1627" s="36">
        <v>36000</v>
      </c>
      <c r="H1627" s="36"/>
      <c r="I1627" s="36"/>
      <c r="J1627" s="36"/>
      <c r="K1627" s="36"/>
      <c r="L1627" s="36"/>
      <c r="M1627" s="36"/>
      <c r="N1627" s="36"/>
      <c r="O1627" s="36"/>
      <c r="P1627" s="36"/>
      <c r="Q1627" s="36"/>
      <c r="R1627" s="36"/>
      <c r="S1627" s="37">
        <f t="shared" si="89"/>
        <v>36000</v>
      </c>
      <c r="T1627" s="37">
        <f>SUM(36000-S1627)</f>
        <v>0</v>
      </c>
      <c r="AM1627" s="250"/>
    </row>
    <row r="1628" spans="1:39" s="220" customFormat="1" ht="52.5" customHeight="1" x14ac:dyDescent="0.4">
      <c r="A1628" s="313" t="s">
        <v>311</v>
      </c>
      <c r="B1628" s="33" t="s">
        <v>28</v>
      </c>
      <c r="C1628" s="80" t="s">
        <v>52</v>
      </c>
      <c r="D1628" s="80"/>
      <c r="E1628" s="30">
        <v>2021</v>
      </c>
      <c r="F1628" s="251">
        <v>3000</v>
      </c>
      <c r="G1628" s="482"/>
      <c r="H1628" s="482">
        <v>36000</v>
      </c>
      <c r="I1628" s="482"/>
      <c r="J1628" s="482"/>
      <c r="K1628" s="482">
        <v>3000</v>
      </c>
      <c r="L1628" s="482"/>
      <c r="M1628" s="482"/>
      <c r="N1628" s="482"/>
      <c r="O1628" s="482"/>
      <c r="P1628" s="482"/>
      <c r="Q1628" s="482"/>
      <c r="R1628" s="482"/>
      <c r="S1628" s="252">
        <f t="shared" si="89"/>
        <v>39000</v>
      </c>
      <c r="T1628" s="252">
        <f>SUM(36000-S1628)</f>
        <v>-3000</v>
      </c>
      <c r="AM1628" s="250"/>
    </row>
    <row r="1629" spans="1:39" s="258" customFormat="1" ht="52.5" customHeight="1" x14ac:dyDescent="0.45">
      <c r="A1629" s="313"/>
      <c r="B1629" s="381" t="s">
        <v>60</v>
      </c>
      <c r="C1629" s="82"/>
      <c r="D1629" s="82"/>
      <c r="E1629" s="513">
        <v>2020</v>
      </c>
      <c r="F1629" s="251">
        <v>3000</v>
      </c>
      <c r="G1629" s="516">
        <v>21000</v>
      </c>
      <c r="H1629" s="516"/>
      <c r="I1629" s="516"/>
      <c r="J1629" s="516"/>
      <c r="K1629" s="516"/>
      <c r="L1629" s="516"/>
      <c r="M1629" s="516"/>
      <c r="N1629" s="516">
        <v>15000</v>
      </c>
      <c r="O1629" s="516"/>
      <c r="P1629" s="516"/>
      <c r="Q1629" s="516"/>
      <c r="R1629" s="516"/>
      <c r="S1629" s="252">
        <f t="shared" si="89"/>
        <v>36000</v>
      </c>
      <c r="T1629" s="257">
        <f>SUM(36000-S1629)</f>
        <v>0</v>
      </c>
      <c r="AM1629" s="259"/>
    </row>
    <row r="1630" spans="1:39" s="258" customFormat="1" ht="52.5" customHeight="1" x14ac:dyDescent="0.45">
      <c r="A1630" s="619"/>
      <c r="B1630" s="381"/>
      <c r="C1630" s="82"/>
      <c r="D1630" s="82"/>
      <c r="E1630" s="513">
        <v>2019</v>
      </c>
      <c r="F1630" s="251">
        <v>3000</v>
      </c>
      <c r="G1630" s="516"/>
      <c r="H1630" s="516"/>
      <c r="I1630" s="516"/>
      <c r="J1630" s="516"/>
      <c r="K1630" s="516"/>
      <c r="L1630" s="516"/>
      <c r="M1630" s="516"/>
      <c r="N1630" s="516"/>
      <c r="O1630" s="516"/>
      <c r="P1630" s="516"/>
      <c r="Q1630" s="516"/>
      <c r="R1630" s="516"/>
      <c r="S1630" s="252">
        <f t="shared" si="89"/>
        <v>0</v>
      </c>
      <c r="T1630" s="257">
        <f>SUM(3000-S1630)</f>
        <v>3000</v>
      </c>
      <c r="AM1630" s="259"/>
    </row>
    <row r="1631" spans="1:39" s="258" customFormat="1" ht="52.5" customHeight="1" thickBot="1" x14ac:dyDescent="0.8">
      <c r="A1631" s="382"/>
      <c r="B1631" s="381"/>
      <c r="C1631" s="82"/>
      <c r="D1631" s="82"/>
      <c r="E1631" s="385"/>
      <c r="F1631" s="265"/>
      <c r="G1631" s="489"/>
      <c r="H1631" s="489"/>
      <c r="I1631" s="489"/>
      <c r="J1631" s="489"/>
      <c r="K1631" s="489"/>
      <c r="L1631" s="489"/>
      <c r="M1631" s="489"/>
      <c r="N1631" s="489"/>
      <c r="O1631" s="489"/>
      <c r="P1631" s="489"/>
      <c r="Q1631" s="489"/>
      <c r="R1631" s="489"/>
      <c r="S1631" s="178">
        <f>SUM(S1624:S1630)</f>
        <v>222000</v>
      </c>
      <c r="T1631" s="87">
        <f>SUM(T1624:T1630)</f>
        <v>-3000</v>
      </c>
      <c r="AM1631" s="259"/>
    </row>
    <row r="1632" spans="1:39" s="258" customFormat="1" ht="52.5" customHeight="1" x14ac:dyDescent="0.75">
      <c r="A1632" s="382"/>
      <c r="B1632" s="381"/>
      <c r="C1632" s="383"/>
      <c r="D1632" s="384"/>
      <c r="E1632" s="385"/>
      <c r="F1632" s="264"/>
      <c r="G1632" s="484"/>
      <c r="H1632" s="484"/>
      <c r="I1632" s="484"/>
      <c r="J1632" s="484"/>
      <c r="K1632" s="484"/>
      <c r="L1632" s="484"/>
      <c r="M1632" s="484"/>
      <c r="N1632" s="484"/>
      <c r="O1632" s="484"/>
      <c r="P1632" s="484"/>
      <c r="Q1632" s="484"/>
      <c r="R1632" s="484"/>
      <c r="S1632" s="286"/>
      <c r="T1632" s="286"/>
      <c r="AM1632" s="259"/>
    </row>
    <row r="1633" spans="1:39" s="374" customFormat="1" ht="52.5" customHeight="1" x14ac:dyDescent="0.4">
      <c r="A1633" s="368" t="s">
        <v>6</v>
      </c>
      <c r="B1633" s="368" t="s">
        <v>7</v>
      </c>
      <c r="C1633" s="369" t="s">
        <v>8</v>
      </c>
      <c r="D1633" s="370" t="s">
        <v>231</v>
      </c>
      <c r="E1633" s="371" t="s">
        <v>10</v>
      </c>
      <c r="F1633" s="372" t="s">
        <v>11</v>
      </c>
      <c r="G1633" s="476" t="s">
        <v>12</v>
      </c>
      <c r="H1633" s="476" t="s">
        <v>13</v>
      </c>
      <c r="I1633" s="476" t="s">
        <v>14</v>
      </c>
      <c r="J1633" s="476" t="s">
        <v>15</v>
      </c>
      <c r="K1633" s="476" t="s">
        <v>16</v>
      </c>
      <c r="L1633" s="476" t="s">
        <v>17</v>
      </c>
      <c r="M1633" s="476" t="s">
        <v>18</v>
      </c>
      <c r="N1633" s="476" t="s">
        <v>19</v>
      </c>
      <c r="O1633" s="476" t="s">
        <v>20</v>
      </c>
      <c r="P1633" s="476" t="s">
        <v>21</v>
      </c>
      <c r="Q1633" s="476" t="s">
        <v>22</v>
      </c>
      <c r="R1633" s="476" t="s">
        <v>23</v>
      </c>
      <c r="S1633" s="20" t="s">
        <v>24</v>
      </c>
      <c r="T1633" s="20" t="s">
        <v>25</v>
      </c>
      <c r="AM1633" s="375"/>
    </row>
    <row r="1634" spans="1:39" ht="51.75" customHeight="1" x14ac:dyDescent="0.25">
      <c r="A1634" s="620" t="s">
        <v>407</v>
      </c>
      <c r="B1634" s="17"/>
      <c r="C1634" s="598" t="s">
        <v>408</v>
      </c>
      <c r="D1634" s="19" t="str">
        <f>C1634</f>
        <v>JOVIA IFETOBO JOSE</v>
      </c>
      <c r="E1634" s="26">
        <v>2025</v>
      </c>
      <c r="F1634" s="251">
        <v>3000</v>
      </c>
      <c r="G1634" s="22"/>
      <c r="H1634" s="22"/>
      <c r="I1634" s="22"/>
      <c r="J1634" s="22"/>
      <c r="K1634" s="22"/>
      <c r="L1634" s="22"/>
      <c r="M1634" s="621">
        <v>50000</v>
      </c>
      <c r="N1634" s="22"/>
      <c r="O1634" s="22"/>
      <c r="P1634" s="22"/>
      <c r="Q1634" s="22"/>
      <c r="R1634" s="22"/>
      <c r="S1634" s="64">
        <f t="shared" ref="S1634:S1635" si="90">SUM(G1634:R1634)</f>
        <v>50000</v>
      </c>
      <c r="T1634" s="29">
        <f>SUM(F1634*IF(E1634=_current_year,_current_month,12)-(S1634))</f>
        <v>-14000</v>
      </c>
    </row>
    <row r="1635" spans="1:39" ht="51.75" customHeight="1" x14ac:dyDescent="0.25">
      <c r="A1635" s="622"/>
      <c r="B1635" s="17"/>
      <c r="C1635" s="612"/>
      <c r="D1635" s="19"/>
      <c r="E1635" s="30">
        <v>2024</v>
      </c>
      <c r="F1635" s="251">
        <v>3000</v>
      </c>
      <c r="G1635" s="22"/>
      <c r="H1635" s="22"/>
      <c r="I1635" s="22"/>
      <c r="J1635" s="22"/>
      <c r="K1635" s="22"/>
      <c r="L1635" s="22"/>
      <c r="M1635" s="22"/>
      <c r="N1635" s="617"/>
      <c r="O1635" s="22"/>
      <c r="P1635" s="22"/>
      <c r="Q1635" s="22"/>
      <c r="R1635" s="22"/>
      <c r="S1635" s="37">
        <f t="shared" si="90"/>
        <v>0</v>
      </c>
      <c r="T1635" s="22">
        <f>SUM(F1635*4)-(S1635)</f>
        <v>12000</v>
      </c>
    </row>
    <row r="1636" spans="1:39" ht="51.75" customHeight="1" x14ac:dyDescent="0.25">
      <c r="A1636" s="622"/>
      <c r="B1636" s="17"/>
      <c r="C1636" s="599"/>
      <c r="D1636" s="19"/>
      <c r="E1636" s="73">
        <v>2023</v>
      </c>
      <c r="F1636" s="74"/>
      <c r="G1636" s="74"/>
      <c r="H1636" s="74"/>
      <c r="I1636" s="74"/>
      <c r="J1636" s="74"/>
      <c r="K1636" s="74"/>
      <c r="L1636" s="74"/>
      <c r="M1636" s="74"/>
      <c r="N1636" s="74"/>
      <c r="O1636" s="74"/>
      <c r="P1636" s="74"/>
      <c r="Q1636" s="74"/>
      <c r="R1636" s="74"/>
      <c r="S1636" s="74"/>
      <c r="T1636" s="75"/>
    </row>
    <row r="1637" spans="1:39" s="220" customFormat="1" ht="48" customHeight="1" x14ac:dyDescent="0.4">
      <c r="A1637" s="622"/>
      <c r="B1637" s="33" t="s">
        <v>28</v>
      </c>
      <c r="C1637" s="34"/>
      <c r="D1637" s="35"/>
      <c r="E1637" s="77"/>
      <c r="F1637" s="78"/>
      <c r="G1637" s="78"/>
      <c r="H1637" s="78"/>
      <c r="I1637" s="78"/>
      <c r="J1637" s="78"/>
      <c r="K1637" s="78"/>
      <c r="L1637" s="78"/>
      <c r="M1637" s="78"/>
      <c r="N1637" s="78"/>
      <c r="O1637" s="78"/>
      <c r="P1637" s="78"/>
      <c r="Q1637" s="78"/>
      <c r="R1637" s="78"/>
      <c r="S1637" s="78"/>
      <c r="T1637" s="79"/>
      <c r="AM1637" s="250"/>
    </row>
    <row r="1638" spans="1:39" s="220" customFormat="1" ht="52.5" customHeight="1" x14ac:dyDescent="0.4">
      <c r="A1638" s="313" t="s">
        <v>311</v>
      </c>
      <c r="B1638" s="33" t="s">
        <v>28</v>
      </c>
      <c r="C1638" s="80" t="s">
        <v>52</v>
      </c>
      <c r="D1638" s="80"/>
      <c r="E1638" s="77"/>
      <c r="F1638" s="78"/>
      <c r="G1638" s="78"/>
      <c r="H1638" s="78"/>
      <c r="I1638" s="78"/>
      <c r="J1638" s="78"/>
      <c r="K1638" s="78"/>
      <c r="L1638" s="78"/>
      <c r="M1638" s="78"/>
      <c r="N1638" s="78"/>
      <c r="O1638" s="78"/>
      <c r="P1638" s="78"/>
      <c r="Q1638" s="78"/>
      <c r="R1638" s="78"/>
      <c r="S1638" s="78"/>
      <c r="T1638" s="79"/>
      <c r="AM1638" s="250"/>
    </row>
    <row r="1639" spans="1:39" s="258" customFormat="1" ht="52.5" customHeight="1" x14ac:dyDescent="0.45">
      <c r="A1639" s="313"/>
      <c r="B1639" s="381" t="s">
        <v>60</v>
      </c>
      <c r="C1639" s="82"/>
      <c r="D1639" s="82"/>
      <c r="E1639" s="77"/>
      <c r="F1639" s="78"/>
      <c r="G1639" s="78"/>
      <c r="H1639" s="78"/>
      <c r="I1639" s="78"/>
      <c r="J1639" s="78"/>
      <c r="K1639" s="78"/>
      <c r="L1639" s="78"/>
      <c r="M1639" s="78"/>
      <c r="N1639" s="78"/>
      <c r="O1639" s="78"/>
      <c r="P1639" s="78"/>
      <c r="Q1639" s="78"/>
      <c r="R1639" s="78"/>
      <c r="S1639" s="78"/>
      <c r="T1639" s="79"/>
      <c r="AM1639" s="259"/>
    </row>
    <row r="1640" spans="1:39" s="258" customFormat="1" ht="52.5" customHeight="1" x14ac:dyDescent="0.45">
      <c r="A1640" s="619"/>
      <c r="B1640" s="381"/>
      <c r="C1640" s="82"/>
      <c r="D1640" s="82"/>
      <c r="E1640" s="167"/>
      <c r="F1640" s="168"/>
      <c r="G1640" s="168"/>
      <c r="H1640" s="168"/>
      <c r="I1640" s="168"/>
      <c r="J1640" s="168"/>
      <c r="K1640" s="168"/>
      <c r="L1640" s="168"/>
      <c r="M1640" s="168"/>
      <c r="N1640" s="168"/>
      <c r="O1640" s="168"/>
      <c r="P1640" s="168"/>
      <c r="Q1640" s="168"/>
      <c r="R1640" s="168"/>
      <c r="S1640" s="168"/>
      <c r="T1640" s="169"/>
      <c r="AM1640" s="259"/>
    </row>
    <row r="1641" spans="1:39" s="258" customFormat="1" ht="52.5" customHeight="1" thickBot="1" x14ac:dyDescent="0.8">
      <c r="A1641" s="382"/>
      <c r="B1641" s="381"/>
      <c r="C1641" s="82"/>
      <c r="D1641" s="82"/>
      <c r="E1641" s="385"/>
      <c r="F1641" s="265"/>
      <c r="G1641" s="489"/>
      <c r="H1641" s="489"/>
      <c r="I1641" s="489"/>
      <c r="J1641" s="489"/>
      <c r="K1641" s="489"/>
      <c r="L1641" s="489"/>
      <c r="M1641" s="489"/>
      <c r="N1641" s="489"/>
      <c r="O1641" s="489"/>
      <c r="P1641" s="489"/>
      <c r="Q1641" s="489"/>
      <c r="R1641" s="489"/>
      <c r="S1641" s="178">
        <f>SUM(S1634:S1640)</f>
        <v>50000</v>
      </c>
      <c r="T1641" s="87">
        <f>SUM(T1634:T1640)</f>
        <v>-2000</v>
      </c>
      <c r="AM1641" s="259"/>
    </row>
    <row r="1642" spans="1:39" s="258" customFormat="1" ht="52.5" customHeight="1" x14ac:dyDescent="0.75">
      <c r="A1642" s="382"/>
      <c r="B1642" s="381"/>
      <c r="C1642" s="383"/>
      <c r="D1642" s="384"/>
      <c r="E1642" s="385"/>
      <c r="F1642" s="264"/>
      <c r="G1642" s="484"/>
      <c r="H1642" s="484"/>
      <c r="I1642" s="484"/>
      <c r="J1642" s="484"/>
      <c r="K1642" s="484"/>
      <c r="L1642" s="484"/>
      <c r="M1642" s="484"/>
      <c r="N1642" s="484"/>
      <c r="O1642" s="484"/>
      <c r="P1642" s="484"/>
      <c r="Q1642" s="484"/>
      <c r="R1642" s="484"/>
      <c r="S1642" s="286"/>
      <c r="T1642" s="286"/>
      <c r="AM1642" s="259"/>
    </row>
    <row r="1643" spans="1:39" s="374" customFormat="1" ht="52.5" customHeight="1" x14ac:dyDescent="0.4">
      <c r="A1643" s="368" t="s">
        <v>6</v>
      </c>
      <c r="B1643" s="368" t="s">
        <v>7</v>
      </c>
      <c r="C1643" s="369" t="s">
        <v>8</v>
      </c>
      <c r="D1643" s="370" t="s">
        <v>231</v>
      </c>
      <c r="E1643" s="371" t="s">
        <v>10</v>
      </c>
      <c r="F1643" s="372" t="s">
        <v>11</v>
      </c>
      <c r="G1643" s="476" t="s">
        <v>12</v>
      </c>
      <c r="H1643" s="476" t="s">
        <v>13</v>
      </c>
      <c r="I1643" s="476" t="s">
        <v>14</v>
      </c>
      <c r="J1643" s="476" t="s">
        <v>15</v>
      </c>
      <c r="K1643" s="476" t="s">
        <v>16</v>
      </c>
      <c r="L1643" s="476" t="s">
        <v>17</v>
      </c>
      <c r="M1643" s="476" t="s">
        <v>18</v>
      </c>
      <c r="N1643" s="476" t="s">
        <v>19</v>
      </c>
      <c r="O1643" s="476" t="s">
        <v>20</v>
      </c>
      <c r="P1643" s="476" t="s">
        <v>21</v>
      </c>
      <c r="Q1643" s="476" t="s">
        <v>22</v>
      </c>
      <c r="R1643" s="476" t="s">
        <v>23</v>
      </c>
      <c r="S1643" s="20" t="s">
        <v>24</v>
      </c>
      <c r="T1643" s="20" t="s">
        <v>25</v>
      </c>
      <c r="AM1643" s="375"/>
    </row>
    <row r="1644" spans="1:39" ht="51.75" customHeight="1" x14ac:dyDescent="0.25">
      <c r="A1644" s="615" t="s">
        <v>409</v>
      </c>
      <c r="B1644" s="17"/>
      <c r="C1644" s="598" t="s">
        <v>410</v>
      </c>
      <c r="D1644" s="19"/>
      <c r="E1644" s="26">
        <v>2025</v>
      </c>
      <c r="F1644" s="251">
        <v>5000</v>
      </c>
      <c r="G1644" s="22"/>
      <c r="H1644" s="22"/>
      <c r="I1644" s="22"/>
      <c r="J1644" s="22"/>
      <c r="K1644" s="22"/>
      <c r="L1644" s="22"/>
      <c r="M1644" s="22"/>
      <c r="N1644" s="22"/>
      <c r="O1644" s="22"/>
      <c r="P1644" s="22"/>
      <c r="Q1644" s="22"/>
      <c r="R1644" s="22"/>
      <c r="S1644" s="64">
        <f t="shared" ref="S1644:S1645" si="91">SUM(G1644:R1644)</f>
        <v>0</v>
      </c>
      <c r="T1644" s="29">
        <f>SUM(F1644*IF(E1644=_current_year,_current_month,12)-(S1644))</f>
        <v>60000</v>
      </c>
    </row>
    <row r="1645" spans="1:39" ht="51.75" customHeight="1" x14ac:dyDescent="0.25">
      <c r="A1645" s="616"/>
      <c r="B1645" s="17"/>
      <c r="C1645" s="612"/>
      <c r="D1645" s="19"/>
      <c r="E1645" s="30">
        <v>2024</v>
      </c>
      <c r="F1645" s="251">
        <v>3000</v>
      </c>
      <c r="G1645" s="553"/>
      <c r="H1645" s="553"/>
      <c r="I1645" s="553"/>
      <c r="J1645" s="553"/>
      <c r="K1645" s="553"/>
      <c r="L1645" s="553" t="s">
        <v>411</v>
      </c>
      <c r="M1645" s="22"/>
      <c r="N1645" s="22"/>
      <c r="O1645" s="22"/>
      <c r="P1645" s="22"/>
      <c r="Q1645" s="22"/>
      <c r="R1645" s="22"/>
      <c r="S1645" s="37">
        <f t="shared" si="91"/>
        <v>0</v>
      </c>
      <c r="T1645" s="22">
        <f>SUM(F1645*6-(S1645))</f>
        <v>18000</v>
      </c>
    </row>
    <row r="1646" spans="1:39" ht="51.75" customHeight="1" x14ac:dyDescent="0.25">
      <c r="A1646" s="616"/>
      <c r="B1646" s="17"/>
      <c r="C1646" s="599"/>
      <c r="D1646" s="19"/>
      <c r="E1646" s="30">
        <v>2023</v>
      </c>
      <c r="F1646" s="251">
        <v>3000</v>
      </c>
      <c r="G1646" s="553"/>
      <c r="H1646" s="553"/>
      <c r="I1646" s="553"/>
      <c r="J1646" s="553"/>
      <c r="K1646" s="553"/>
      <c r="L1646" s="553"/>
      <c r="M1646" s="553"/>
      <c r="N1646" s="553"/>
      <c r="O1646" s="553"/>
      <c r="P1646" s="553"/>
      <c r="Q1646" s="553"/>
      <c r="R1646" s="553"/>
      <c r="S1646" s="553"/>
      <c r="T1646" s="22"/>
    </row>
    <row r="1647" spans="1:39" s="220" customFormat="1" ht="48" customHeight="1" x14ac:dyDescent="0.4">
      <c r="A1647" s="616"/>
      <c r="B1647" s="33" t="s">
        <v>28</v>
      </c>
      <c r="C1647" s="34"/>
      <c r="D1647" s="35"/>
      <c r="E1647" s="30">
        <v>2022</v>
      </c>
      <c r="F1647" s="251">
        <v>3000</v>
      </c>
      <c r="G1647" s="553"/>
      <c r="H1647" s="553"/>
      <c r="I1647" s="553"/>
      <c r="J1647" s="553"/>
      <c r="K1647" s="553"/>
      <c r="L1647" s="553"/>
      <c r="M1647" s="553"/>
      <c r="N1647" s="553"/>
      <c r="O1647" s="553"/>
      <c r="P1647" s="553"/>
      <c r="Q1647" s="553"/>
      <c r="R1647" s="553"/>
      <c r="S1647" s="553"/>
      <c r="T1647" s="37"/>
      <c r="AM1647" s="250"/>
    </row>
    <row r="1648" spans="1:39" s="220" customFormat="1" ht="52.5" customHeight="1" x14ac:dyDescent="0.4">
      <c r="A1648" s="313" t="s">
        <v>311</v>
      </c>
      <c r="B1648" s="33" t="s">
        <v>28</v>
      </c>
      <c r="C1648" s="38" t="s">
        <v>52</v>
      </c>
      <c r="D1648" s="124"/>
      <c r="E1648" s="30">
        <v>2021</v>
      </c>
      <c r="F1648" s="251">
        <v>3000</v>
      </c>
      <c r="G1648" s="553"/>
      <c r="H1648" s="553"/>
      <c r="I1648" s="553"/>
      <c r="J1648" s="553"/>
      <c r="K1648" s="553"/>
      <c r="L1648" s="553"/>
      <c r="M1648" s="553"/>
      <c r="N1648" s="553"/>
      <c r="O1648" s="553"/>
      <c r="P1648" s="553"/>
      <c r="Q1648" s="553"/>
      <c r="R1648" s="553"/>
      <c r="S1648" s="553"/>
      <c r="T1648" s="252"/>
      <c r="AM1648" s="250"/>
    </row>
    <row r="1649" spans="1:39" s="258" customFormat="1" ht="52.5" customHeight="1" x14ac:dyDescent="0.45">
      <c r="A1649" s="313"/>
      <c r="B1649" s="381" t="s">
        <v>68</v>
      </c>
      <c r="C1649" s="125"/>
      <c r="D1649" s="126"/>
      <c r="E1649" s="513">
        <v>2020</v>
      </c>
      <c r="F1649" s="251">
        <v>3000</v>
      </c>
      <c r="G1649" s="553"/>
      <c r="H1649" s="553"/>
      <c r="I1649" s="553"/>
      <c r="J1649" s="553"/>
      <c r="K1649" s="553"/>
      <c r="L1649" s="553"/>
      <c r="M1649" s="553"/>
      <c r="N1649" s="553"/>
      <c r="O1649" s="553"/>
      <c r="P1649" s="553"/>
      <c r="Q1649" s="553"/>
      <c r="R1649" s="553"/>
      <c r="S1649" s="553"/>
      <c r="T1649" s="257"/>
      <c r="AM1649" s="259"/>
    </row>
    <row r="1650" spans="1:39" s="258" customFormat="1" ht="52.5" customHeight="1" thickBot="1" x14ac:dyDescent="0.5">
      <c r="A1650" s="486"/>
      <c r="B1650" s="388"/>
      <c r="C1650" s="487"/>
      <c r="D1650" s="488"/>
      <c r="E1650" s="385"/>
      <c r="F1650" s="265"/>
      <c r="G1650" s="489"/>
      <c r="H1650" s="489"/>
      <c r="I1650" s="489"/>
      <c r="J1650" s="489"/>
      <c r="K1650" s="489"/>
      <c r="L1650" s="489"/>
      <c r="M1650" s="489"/>
      <c r="N1650" s="489"/>
      <c r="O1650" s="489"/>
      <c r="P1650" s="489"/>
      <c r="Q1650" s="489"/>
      <c r="R1650" s="489"/>
      <c r="S1650" s="178">
        <f>SUM(S1644:S1649)</f>
        <v>0</v>
      </c>
      <c r="T1650" s="87">
        <f>SUM(T1644:T1649)</f>
        <v>78000</v>
      </c>
      <c r="AM1650" s="259"/>
    </row>
    <row r="1651" spans="1:39" s="258" customFormat="1" ht="52.5" customHeight="1" x14ac:dyDescent="0.45">
      <c r="A1651" s="486"/>
      <c r="B1651" s="388"/>
      <c r="C1651" s="487"/>
      <c r="D1651" s="488"/>
      <c r="F1651" s="253"/>
      <c r="G1651" s="512"/>
      <c r="H1651" s="512"/>
      <c r="I1651" s="512"/>
      <c r="J1651" s="512"/>
      <c r="K1651" s="512"/>
      <c r="L1651" s="512"/>
      <c r="M1651" s="512"/>
      <c r="N1651" s="512"/>
      <c r="O1651" s="512"/>
      <c r="P1651" s="512"/>
      <c r="Q1651" s="512"/>
      <c r="R1651" s="512"/>
      <c r="S1651" s="269"/>
      <c r="T1651" s="269"/>
      <c r="AM1651" s="259"/>
    </row>
    <row r="1652" spans="1:39" s="374" customFormat="1" ht="52.5" customHeight="1" x14ac:dyDescent="0.4">
      <c r="A1652" s="368" t="s">
        <v>6</v>
      </c>
      <c r="B1652" s="368" t="s">
        <v>7</v>
      </c>
      <c r="C1652" s="369" t="s">
        <v>8</v>
      </c>
      <c r="D1652" s="370" t="s">
        <v>231</v>
      </c>
      <c r="E1652" s="371" t="s">
        <v>10</v>
      </c>
      <c r="F1652" s="372" t="s">
        <v>11</v>
      </c>
      <c r="G1652" s="476" t="s">
        <v>12</v>
      </c>
      <c r="H1652" s="476" t="s">
        <v>13</v>
      </c>
      <c r="I1652" s="476" t="s">
        <v>14</v>
      </c>
      <c r="J1652" s="476" t="s">
        <v>15</v>
      </c>
      <c r="K1652" s="476" t="s">
        <v>16</v>
      </c>
      <c r="L1652" s="476" t="s">
        <v>17</v>
      </c>
      <c r="M1652" s="476" t="s">
        <v>18</v>
      </c>
      <c r="N1652" s="476" t="s">
        <v>19</v>
      </c>
      <c r="O1652" s="476" t="s">
        <v>20</v>
      </c>
      <c r="P1652" s="476" t="s">
        <v>21</v>
      </c>
      <c r="Q1652" s="476" t="s">
        <v>22</v>
      </c>
      <c r="R1652" s="476" t="s">
        <v>23</v>
      </c>
      <c r="S1652" s="20" t="s">
        <v>24</v>
      </c>
      <c r="T1652" s="20" t="s">
        <v>25</v>
      </c>
      <c r="AM1652" s="375"/>
    </row>
    <row r="1653" spans="1:39" ht="51.75" customHeight="1" x14ac:dyDescent="0.25">
      <c r="A1653" s="623" t="s">
        <v>412</v>
      </c>
      <c r="B1653" s="17"/>
      <c r="C1653" s="377" t="s">
        <v>124</v>
      </c>
      <c r="D1653" s="19"/>
      <c r="E1653" s="26">
        <v>2025</v>
      </c>
      <c r="F1653" s="251"/>
      <c r="G1653" s="22"/>
      <c r="H1653" s="22"/>
      <c r="I1653" s="22"/>
      <c r="J1653" s="22"/>
      <c r="K1653" s="22"/>
      <c r="L1653" s="22"/>
      <c r="M1653" s="22"/>
      <c r="N1653" s="22"/>
      <c r="O1653" s="22"/>
      <c r="P1653" s="22"/>
      <c r="Q1653" s="22"/>
      <c r="R1653" s="22"/>
      <c r="S1653" s="64">
        <f>SUM(G1653:R1653)</f>
        <v>0</v>
      </c>
      <c r="T1653" s="29">
        <f>SUM(F1653*12)-(S1653)</f>
        <v>0</v>
      </c>
    </row>
    <row r="1654" spans="1:39" ht="51.75" customHeight="1" x14ac:dyDescent="0.25">
      <c r="A1654" s="624"/>
      <c r="B1654" s="17"/>
      <c r="C1654" s="379"/>
      <c r="D1654" s="19"/>
      <c r="E1654" s="30">
        <v>2024</v>
      </c>
      <c r="F1654" s="251"/>
      <c r="G1654" s="22"/>
      <c r="H1654" s="22"/>
      <c r="I1654" s="22"/>
      <c r="J1654" s="22"/>
      <c r="K1654" s="22"/>
      <c r="L1654" s="22"/>
      <c r="M1654" s="22"/>
      <c r="N1654" s="22"/>
      <c r="O1654" s="22"/>
      <c r="P1654" s="22"/>
      <c r="Q1654" s="22"/>
      <c r="R1654" s="22"/>
      <c r="S1654" s="37">
        <f>SUM(G1654:R1654)</f>
        <v>0</v>
      </c>
      <c r="T1654" s="22">
        <f>SUM(F1654*12)-(S1654)</f>
        <v>0</v>
      </c>
    </row>
    <row r="1655" spans="1:39" ht="51.75" customHeight="1" x14ac:dyDescent="0.25">
      <c r="A1655" s="624"/>
      <c r="B1655" s="17"/>
      <c r="C1655" s="379"/>
      <c r="D1655" s="19"/>
      <c r="E1655" s="30">
        <v>2023</v>
      </c>
      <c r="F1655" s="251"/>
      <c r="G1655" s="22"/>
      <c r="H1655" s="22"/>
      <c r="I1655" s="22"/>
      <c r="J1655" s="22"/>
      <c r="K1655" s="22"/>
      <c r="L1655" s="22"/>
      <c r="M1655" s="22"/>
      <c r="N1655" s="22"/>
      <c r="O1655" s="22"/>
      <c r="P1655" s="22"/>
      <c r="Q1655" s="22"/>
      <c r="R1655" s="22"/>
      <c r="S1655" s="37">
        <f>SUM(G1655:R1655)</f>
        <v>0</v>
      </c>
      <c r="T1655" s="22">
        <f t="shared" ref="T1655:T1658" si="92">SUM(F1655*12)-(S1655)</f>
        <v>0</v>
      </c>
    </row>
    <row r="1656" spans="1:39" s="220" customFormat="1" ht="48" customHeight="1" x14ac:dyDescent="0.4">
      <c r="A1656" s="624"/>
      <c r="B1656" s="33" t="s">
        <v>28</v>
      </c>
      <c r="C1656" s="380"/>
      <c r="D1656" s="35"/>
      <c r="E1656" s="30">
        <v>2022</v>
      </c>
      <c r="F1656" s="251"/>
      <c r="G1656" s="36"/>
      <c r="H1656" s="36"/>
      <c r="I1656" s="36"/>
      <c r="J1656" s="36"/>
      <c r="K1656" s="36"/>
      <c r="L1656" s="36"/>
      <c r="M1656" s="36"/>
      <c r="N1656" s="36"/>
      <c r="O1656" s="36"/>
      <c r="P1656" s="36"/>
      <c r="Q1656" s="36"/>
      <c r="R1656" s="36"/>
      <c r="S1656" s="37">
        <f>SUM(G1656:R1656)</f>
        <v>0</v>
      </c>
      <c r="T1656" s="22">
        <f t="shared" si="92"/>
        <v>0</v>
      </c>
      <c r="AM1656" s="250"/>
    </row>
    <row r="1657" spans="1:39" s="220" customFormat="1" ht="52.5" customHeight="1" x14ac:dyDescent="0.4">
      <c r="A1657" s="313" t="s">
        <v>311</v>
      </c>
      <c r="B1657" s="33" t="s">
        <v>28</v>
      </c>
      <c r="C1657" s="80" t="s">
        <v>52</v>
      </c>
      <c r="D1657" s="80"/>
      <c r="E1657" s="30">
        <v>2021</v>
      </c>
      <c r="F1657" s="251"/>
      <c r="G1657" s="482"/>
      <c r="H1657" s="482"/>
      <c r="I1657" s="482"/>
      <c r="J1657" s="482"/>
      <c r="K1657" s="482"/>
      <c r="L1657" s="482"/>
      <c r="M1657" s="482"/>
      <c r="N1657" s="482"/>
      <c r="O1657" s="482"/>
      <c r="P1657" s="482"/>
      <c r="Q1657" s="482"/>
      <c r="R1657" s="482"/>
      <c r="S1657" s="252">
        <f>SUM(G1657:R1657)</f>
        <v>0</v>
      </c>
      <c r="T1657" s="22">
        <f t="shared" si="92"/>
        <v>0</v>
      </c>
      <c r="AM1657" s="250"/>
    </row>
    <row r="1658" spans="1:39" s="258" customFormat="1" ht="52.5" customHeight="1" x14ac:dyDescent="0.45">
      <c r="A1658" s="313"/>
      <c r="B1658" s="381" t="s">
        <v>413</v>
      </c>
      <c r="C1658" s="82"/>
      <c r="D1658" s="82"/>
      <c r="E1658" s="513">
        <v>2020</v>
      </c>
      <c r="F1658" s="251"/>
      <c r="G1658" s="516"/>
      <c r="H1658" s="516"/>
      <c r="I1658" s="516"/>
      <c r="J1658" s="516"/>
      <c r="K1658" s="516"/>
      <c r="L1658" s="516"/>
      <c r="M1658" s="516"/>
      <c r="N1658" s="516"/>
      <c r="O1658" s="516"/>
      <c r="P1658" s="516"/>
      <c r="Q1658" s="516"/>
      <c r="R1658" s="516"/>
      <c r="S1658" s="252">
        <f>SUM(L1658:R1658)</f>
        <v>0</v>
      </c>
      <c r="T1658" s="22">
        <f t="shared" si="92"/>
        <v>0</v>
      </c>
      <c r="AM1658" s="259"/>
    </row>
    <row r="1659" spans="1:39" s="258" customFormat="1" ht="52.5" customHeight="1" thickBot="1" x14ac:dyDescent="0.5">
      <c r="A1659" s="486"/>
      <c r="B1659" s="388"/>
      <c r="C1659" s="82"/>
      <c r="D1659" s="82"/>
      <c r="E1659" s="385"/>
      <c r="F1659" s="265"/>
      <c r="G1659" s="489"/>
      <c r="H1659" s="489"/>
      <c r="I1659" s="489"/>
      <c r="J1659" s="489"/>
      <c r="K1659" s="489"/>
      <c r="L1659" s="489"/>
      <c r="M1659" s="489"/>
      <c r="N1659" s="489"/>
      <c r="O1659" s="489"/>
      <c r="P1659" s="489"/>
      <c r="Q1659" s="489"/>
      <c r="R1659" s="489"/>
      <c r="S1659" s="178">
        <f>SUM(S1653:S1658)</f>
        <v>0</v>
      </c>
      <c r="T1659" s="87">
        <f>SUM(T1653:T1658)</f>
        <v>0</v>
      </c>
      <c r="AM1659" s="259"/>
    </row>
    <row r="1660" spans="1:39" s="258" customFormat="1" ht="52.5" customHeight="1" x14ac:dyDescent="0.45">
      <c r="A1660" s="486"/>
      <c r="B1660" s="388"/>
      <c r="C1660" s="487"/>
      <c r="D1660" s="488"/>
      <c r="E1660" s="385"/>
      <c r="F1660" s="264"/>
      <c r="G1660" s="484"/>
      <c r="H1660" s="484"/>
      <c r="I1660" s="484"/>
      <c r="J1660" s="484"/>
      <c r="K1660" s="484"/>
      <c r="L1660" s="484"/>
      <c r="M1660" s="484"/>
      <c r="N1660" s="484"/>
      <c r="O1660" s="484"/>
      <c r="P1660" s="484"/>
      <c r="Q1660" s="484"/>
      <c r="R1660" s="484"/>
      <c r="S1660" s="517"/>
      <c r="T1660" s="517"/>
      <c r="AM1660" s="259"/>
    </row>
    <row r="1661" spans="1:39" s="374" customFormat="1" ht="52.5" customHeight="1" x14ac:dyDescent="0.4">
      <c r="A1661" s="368" t="s">
        <v>6</v>
      </c>
      <c r="B1661" s="368" t="s">
        <v>7</v>
      </c>
      <c r="C1661" s="369" t="s">
        <v>8</v>
      </c>
      <c r="D1661" s="370" t="s">
        <v>231</v>
      </c>
      <c r="E1661" s="371" t="s">
        <v>10</v>
      </c>
      <c r="F1661" s="372" t="s">
        <v>11</v>
      </c>
      <c r="G1661" s="476" t="s">
        <v>12</v>
      </c>
      <c r="H1661" s="476" t="s">
        <v>13</v>
      </c>
      <c r="I1661" s="476" t="s">
        <v>14</v>
      </c>
      <c r="J1661" s="476" t="s">
        <v>15</v>
      </c>
      <c r="K1661" s="476" t="s">
        <v>16</v>
      </c>
      <c r="L1661" s="476" t="s">
        <v>17</v>
      </c>
      <c r="M1661" s="476" t="s">
        <v>18</v>
      </c>
      <c r="N1661" s="476" t="s">
        <v>19</v>
      </c>
      <c r="O1661" s="476" t="s">
        <v>20</v>
      </c>
      <c r="P1661" s="476" t="s">
        <v>21</v>
      </c>
      <c r="Q1661" s="476" t="s">
        <v>22</v>
      </c>
      <c r="R1661" s="476" t="s">
        <v>23</v>
      </c>
      <c r="S1661" s="20" t="s">
        <v>24</v>
      </c>
      <c r="T1661" s="20" t="s">
        <v>25</v>
      </c>
      <c r="AM1661" s="375"/>
    </row>
    <row r="1662" spans="1:39" ht="51.75" customHeight="1" x14ac:dyDescent="0.25">
      <c r="A1662" s="623" t="s">
        <v>414</v>
      </c>
      <c r="B1662" s="17"/>
      <c r="C1662" s="625" t="s">
        <v>124</v>
      </c>
      <c r="D1662" s="19"/>
      <c r="E1662" s="26">
        <v>2025</v>
      </c>
      <c r="F1662" s="251"/>
      <c r="G1662" s="22"/>
      <c r="H1662" s="22"/>
      <c r="I1662" s="22"/>
      <c r="J1662" s="22"/>
      <c r="K1662" s="22"/>
      <c r="L1662" s="22"/>
      <c r="M1662" s="22"/>
      <c r="N1662" s="22"/>
      <c r="O1662" s="22"/>
      <c r="P1662" s="22"/>
      <c r="Q1662" s="22"/>
      <c r="R1662" s="22"/>
      <c r="S1662" s="64">
        <f>SUM(G1662:R1662)</f>
        <v>0</v>
      </c>
      <c r="T1662" s="29">
        <f t="shared" ref="T1662:T1667" si="93">SUM(F1662*IF(E1662=_current_year,_current_month,12)-(S1662))</f>
        <v>0</v>
      </c>
    </row>
    <row r="1663" spans="1:39" ht="51.75" customHeight="1" x14ac:dyDescent="0.25">
      <c r="A1663" s="624"/>
      <c r="B1663" s="17"/>
      <c r="C1663" s="626"/>
      <c r="D1663" s="19"/>
      <c r="E1663" s="30">
        <v>2024</v>
      </c>
      <c r="F1663" s="251"/>
      <c r="G1663" s="22"/>
      <c r="H1663" s="22"/>
      <c r="I1663" s="22"/>
      <c r="J1663" s="22"/>
      <c r="K1663" s="22"/>
      <c r="L1663" s="22"/>
      <c r="M1663" s="22"/>
      <c r="N1663" s="22"/>
      <c r="O1663" s="22"/>
      <c r="P1663" s="22"/>
      <c r="Q1663" s="22"/>
      <c r="R1663" s="22"/>
      <c r="S1663" s="37">
        <f>SUM(G1663:R1663)</f>
        <v>0</v>
      </c>
      <c r="T1663" s="22">
        <f t="shared" si="93"/>
        <v>0</v>
      </c>
    </row>
    <row r="1664" spans="1:39" ht="51.75" customHeight="1" x14ac:dyDescent="0.25">
      <c r="A1664" s="624"/>
      <c r="B1664" s="17"/>
      <c r="C1664" s="627"/>
      <c r="D1664" s="19"/>
      <c r="E1664" s="30">
        <v>2023</v>
      </c>
      <c r="F1664" s="251"/>
      <c r="G1664" s="22"/>
      <c r="H1664" s="22"/>
      <c r="I1664" s="22"/>
      <c r="J1664" s="22"/>
      <c r="K1664" s="22"/>
      <c r="L1664" s="22"/>
      <c r="M1664" s="22"/>
      <c r="N1664" s="22"/>
      <c r="O1664" s="22"/>
      <c r="P1664" s="22"/>
      <c r="Q1664" s="22"/>
      <c r="R1664" s="22"/>
      <c r="S1664" s="37">
        <f>SUM(G1664:R1664)</f>
        <v>0</v>
      </c>
      <c r="T1664" s="22">
        <f t="shared" si="93"/>
        <v>0</v>
      </c>
    </row>
    <row r="1665" spans="1:39" s="220" customFormat="1" ht="48" customHeight="1" x14ac:dyDescent="0.4">
      <c r="A1665" s="624"/>
      <c r="B1665" s="33" t="s">
        <v>28</v>
      </c>
      <c r="C1665" s="571"/>
      <c r="D1665" s="35"/>
      <c r="E1665" s="30">
        <v>2022</v>
      </c>
      <c r="F1665" s="251"/>
      <c r="G1665" s="36"/>
      <c r="H1665" s="36"/>
      <c r="I1665" s="36"/>
      <c r="J1665" s="36"/>
      <c r="K1665" s="36"/>
      <c r="L1665" s="36"/>
      <c r="M1665" s="36"/>
      <c r="N1665" s="36"/>
      <c r="O1665" s="36"/>
      <c r="P1665" s="36"/>
      <c r="Q1665" s="36"/>
      <c r="R1665" s="36"/>
      <c r="S1665" s="37">
        <f>SUM(G1665:R1665)</f>
        <v>0</v>
      </c>
      <c r="T1665" s="22">
        <f t="shared" si="93"/>
        <v>0</v>
      </c>
      <c r="AM1665" s="250"/>
    </row>
    <row r="1666" spans="1:39" s="220" customFormat="1" ht="52.5" customHeight="1" x14ac:dyDescent="0.4">
      <c r="A1666" s="313" t="s">
        <v>311</v>
      </c>
      <c r="B1666" s="33" t="s">
        <v>28</v>
      </c>
      <c r="C1666" s="38" t="s">
        <v>52</v>
      </c>
      <c r="D1666" s="124"/>
      <c r="E1666" s="30">
        <v>2021</v>
      </c>
      <c r="F1666" s="251"/>
      <c r="G1666" s="482"/>
      <c r="H1666" s="482"/>
      <c r="J1666" s="482"/>
      <c r="K1666" s="482"/>
      <c r="L1666" s="482"/>
      <c r="M1666" s="482"/>
      <c r="N1666" s="482"/>
      <c r="O1666" s="482"/>
      <c r="P1666" s="482"/>
      <c r="Q1666" s="482"/>
      <c r="R1666" s="482"/>
      <c r="S1666" s="252">
        <f>SUM(G1666:R1666)</f>
        <v>0</v>
      </c>
      <c r="T1666" s="22">
        <f t="shared" si="93"/>
        <v>0</v>
      </c>
      <c r="AM1666" s="250"/>
    </row>
    <row r="1667" spans="1:39" s="258" customFormat="1" ht="52.5" customHeight="1" x14ac:dyDescent="0.45">
      <c r="A1667" s="313"/>
      <c r="B1667" s="381" t="s">
        <v>415</v>
      </c>
      <c r="C1667" s="125"/>
      <c r="D1667" s="126"/>
      <c r="E1667" s="513">
        <v>2020</v>
      </c>
      <c r="F1667" s="251"/>
      <c r="G1667" s="516"/>
      <c r="H1667" s="516"/>
      <c r="I1667" s="482"/>
      <c r="J1667" s="516"/>
      <c r="K1667" s="516"/>
      <c r="L1667" s="516"/>
      <c r="M1667" s="516"/>
      <c r="N1667" s="516"/>
      <c r="O1667" s="516"/>
      <c r="P1667" s="516"/>
      <c r="Q1667" s="516"/>
      <c r="R1667" s="516"/>
      <c r="S1667" s="252">
        <f>SUM(I1667:R1667)</f>
        <v>0</v>
      </c>
      <c r="T1667" s="22">
        <f t="shared" si="93"/>
        <v>0</v>
      </c>
      <c r="AM1667" s="259"/>
    </row>
    <row r="1668" spans="1:39" s="258" customFormat="1" ht="52.5" customHeight="1" x14ac:dyDescent="0.75">
      <c r="A1668" s="551"/>
      <c r="B1668" s="388"/>
      <c r="C1668" s="129"/>
      <c r="D1668" s="130"/>
      <c r="E1668" s="385"/>
      <c r="F1668" s="276"/>
      <c r="G1668" s="628"/>
      <c r="H1668" s="628"/>
      <c r="I1668" s="628"/>
      <c r="J1668" s="628"/>
      <c r="K1668" s="628"/>
      <c r="L1668" s="628"/>
      <c r="M1668" s="628"/>
      <c r="N1668" s="628"/>
      <c r="O1668" s="628"/>
      <c r="P1668" s="628"/>
      <c r="Q1668" s="628"/>
      <c r="R1668" s="628"/>
      <c r="S1668" s="281"/>
      <c r="T1668" s="277"/>
      <c r="AM1668" s="259"/>
    </row>
    <row r="1669" spans="1:39" s="258" customFormat="1" ht="52.5" customHeight="1" thickBot="1" x14ac:dyDescent="0.5">
      <c r="A1669" s="486"/>
      <c r="B1669" s="388"/>
      <c r="C1669" s="487" t="s">
        <v>59</v>
      </c>
      <c r="D1669" s="488"/>
      <c r="E1669" s="385"/>
      <c r="F1669" s="265"/>
      <c r="G1669" s="489"/>
      <c r="H1669" s="489"/>
      <c r="I1669" s="489"/>
      <c r="J1669" s="489"/>
      <c r="K1669" s="489"/>
      <c r="L1669" s="489"/>
      <c r="M1669" s="489"/>
      <c r="N1669" s="489"/>
      <c r="O1669" s="489"/>
      <c r="P1669" s="489"/>
      <c r="Q1669" s="489"/>
      <c r="R1669" s="489"/>
      <c r="S1669" s="267">
        <f>SUM(S1662:S1668)</f>
        <v>0</v>
      </c>
      <c r="T1669" s="87">
        <f>SUM(T1662:T1668)</f>
        <v>0</v>
      </c>
      <c r="AM1669" s="259"/>
    </row>
    <row r="1670" spans="1:39" s="258" customFormat="1" ht="52.5" customHeight="1" x14ac:dyDescent="0.45">
      <c r="A1670" s="486"/>
      <c r="B1670" s="388"/>
      <c r="C1670" s="487"/>
      <c r="D1670" s="488"/>
      <c r="E1670" s="385"/>
      <c r="F1670" s="264"/>
      <c r="G1670" s="484"/>
      <c r="H1670" s="484"/>
      <c r="I1670" s="484"/>
      <c r="J1670" s="484"/>
      <c r="K1670" s="484"/>
      <c r="L1670" s="484"/>
      <c r="M1670" s="484"/>
      <c r="N1670" s="484"/>
      <c r="O1670" s="484"/>
      <c r="P1670" s="484"/>
      <c r="Q1670" s="484"/>
      <c r="R1670" s="484"/>
      <c r="S1670" s="517"/>
      <c r="T1670" s="517"/>
      <c r="AM1670" s="259"/>
    </row>
    <row r="1671" spans="1:39" s="374" customFormat="1" ht="52.5" customHeight="1" x14ac:dyDescent="0.4">
      <c r="A1671" s="368" t="s">
        <v>6</v>
      </c>
      <c r="B1671" s="368" t="s">
        <v>7</v>
      </c>
      <c r="C1671" s="369" t="s">
        <v>8</v>
      </c>
      <c r="D1671" s="370" t="s">
        <v>231</v>
      </c>
      <c r="E1671" s="371" t="s">
        <v>10</v>
      </c>
      <c r="F1671" s="372" t="s">
        <v>11</v>
      </c>
      <c r="G1671" s="476" t="s">
        <v>12</v>
      </c>
      <c r="H1671" s="476" t="s">
        <v>13</v>
      </c>
      <c r="I1671" s="476" t="s">
        <v>14</v>
      </c>
      <c r="J1671" s="476" t="s">
        <v>15</v>
      </c>
      <c r="K1671" s="476" t="s">
        <v>16</v>
      </c>
      <c r="L1671" s="476" t="s">
        <v>17</v>
      </c>
      <c r="M1671" s="476" t="s">
        <v>18</v>
      </c>
      <c r="N1671" s="476" t="s">
        <v>19</v>
      </c>
      <c r="O1671" s="476" t="s">
        <v>20</v>
      </c>
      <c r="P1671" s="476" t="s">
        <v>21</v>
      </c>
      <c r="Q1671" s="476" t="s">
        <v>22</v>
      </c>
      <c r="R1671" s="476" t="s">
        <v>23</v>
      </c>
      <c r="S1671" s="20" t="s">
        <v>24</v>
      </c>
      <c r="T1671" s="20" t="s">
        <v>25</v>
      </c>
      <c r="AM1671" s="375"/>
    </row>
    <row r="1672" spans="1:39" ht="51.75" customHeight="1" x14ac:dyDescent="0.25">
      <c r="A1672" s="623" t="s">
        <v>416</v>
      </c>
      <c r="B1672" s="17"/>
      <c r="C1672" s="598" t="s">
        <v>417</v>
      </c>
      <c r="D1672" s="19"/>
      <c r="E1672" s="26">
        <v>2025</v>
      </c>
      <c r="F1672" s="251">
        <v>3000</v>
      </c>
      <c r="G1672" s="22"/>
      <c r="H1672" s="22"/>
      <c r="I1672" s="22"/>
      <c r="J1672" s="22"/>
      <c r="K1672" s="22"/>
      <c r="L1672" s="22"/>
      <c r="M1672" s="22"/>
      <c r="N1672" s="22"/>
      <c r="O1672" s="22"/>
      <c r="P1672" s="22"/>
      <c r="Q1672" s="22"/>
      <c r="R1672" s="22"/>
      <c r="S1672" s="64">
        <f>SUM(G1672:R1672)</f>
        <v>0</v>
      </c>
      <c r="T1672" s="29">
        <f>SUM(F1672*IF(E1672=_current_year,_current_month,12)-(S1672))</f>
        <v>36000</v>
      </c>
    </row>
    <row r="1673" spans="1:39" ht="51.75" customHeight="1" x14ac:dyDescent="0.25">
      <c r="A1673" s="624"/>
      <c r="B1673" s="17"/>
      <c r="C1673" s="612"/>
      <c r="D1673" s="19"/>
      <c r="E1673" s="30">
        <v>2024</v>
      </c>
      <c r="F1673" s="251">
        <v>3000</v>
      </c>
      <c r="G1673" s="22"/>
      <c r="H1673" s="22"/>
      <c r="I1673" s="22"/>
      <c r="J1673" s="22"/>
      <c r="K1673" s="22"/>
      <c r="L1673" s="22"/>
      <c r="M1673" s="22"/>
      <c r="N1673" s="22"/>
      <c r="O1673" s="22"/>
      <c r="P1673" s="22"/>
      <c r="Q1673" s="22"/>
      <c r="R1673" s="22"/>
      <c r="S1673" s="37">
        <f>SUM(G1673:R1673)</f>
        <v>0</v>
      </c>
      <c r="T1673" s="22">
        <f>SUM(F1673*IF(E1673=_current_year,_current_month,12)-(S1673))</f>
        <v>36000</v>
      </c>
    </row>
    <row r="1674" spans="1:39" ht="51.75" customHeight="1" x14ac:dyDescent="0.25">
      <c r="A1674" s="624"/>
      <c r="B1674" s="17"/>
      <c r="C1674" s="599"/>
      <c r="D1674" s="19"/>
      <c r="E1674" s="30">
        <v>2023</v>
      </c>
      <c r="F1674" s="251">
        <v>3000</v>
      </c>
      <c r="G1674" s="22"/>
      <c r="H1674" s="22"/>
      <c r="I1674" s="22"/>
      <c r="J1674" s="22"/>
      <c r="K1674" s="22"/>
      <c r="L1674" s="22"/>
      <c r="M1674" s="22"/>
      <c r="N1674" s="22"/>
      <c r="O1674" s="22"/>
      <c r="P1674" s="22"/>
      <c r="Q1674" s="22"/>
      <c r="R1674" s="22"/>
      <c r="S1674" s="37">
        <f>SUM(G1674:R1674)</f>
        <v>0</v>
      </c>
      <c r="T1674" s="22">
        <f>SUM(F1674*IF(E1674=_current_year,_current_month,12)-(S1674))</f>
        <v>36000</v>
      </c>
    </row>
    <row r="1675" spans="1:39" s="220" customFormat="1" ht="48" customHeight="1" x14ac:dyDescent="0.4">
      <c r="A1675" s="624"/>
      <c r="B1675" s="33" t="s">
        <v>28</v>
      </c>
      <c r="C1675" s="34"/>
      <c r="D1675" s="35"/>
      <c r="E1675" s="30">
        <v>2022</v>
      </c>
      <c r="F1675" s="251">
        <v>3000</v>
      </c>
      <c r="G1675" s="431"/>
      <c r="H1675" s="432"/>
      <c r="I1675" s="432"/>
      <c r="J1675" s="432"/>
      <c r="K1675" s="432"/>
      <c r="L1675" s="433"/>
      <c r="M1675" s="60"/>
      <c r="N1675" s="36"/>
      <c r="O1675" s="36"/>
      <c r="P1675" s="36"/>
      <c r="Q1675" s="36"/>
      <c r="R1675" s="36"/>
      <c r="S1675" s="37">
        <f>SUM(G1675:R1675)</f>
        <v>0</v>
      </c>
      <c r="T1675" s="37">
        <f>SUM(18000-S1675)</f>
        <v>18000</v>
      </c>
      <c r="AM1675" s="250"/>
    </row>
    <row r="1676" spans="1:39" s="220" customFormat="1" ht="52.5" customHeight="1" x14ac:dyDescent="0.4">
      <c r="A1676" s="313" t="s">
        <v>311</v>
      </c>
      <c r="B1676" s="33" t="s">
        <v>28</v>
      </c>
      <c r="C1676" s="38" t="s">
        <v>52</v>
      </c>
      <c r="D1676" s="124"/>
      <c r="E1676" s="30"/>
      <c r="F1676" s="251"/>
      <c r="G1676" s="435"/>
      <c r="H1676" s="104"/>
      <c r="I1676" s="104"/>
      <c r="J1676" s="104"/>
      <c r="K1676" s="104"/>
      <c r="L1676" s="104"/>
      <c r="M1676" s="483"/>
      <c r="N1676" s="629"/>
      <c r="O1676" s="629"/>
      <c r="P1676" s="629"/>
      <c r="Q1676" s="629"/>
      <c r="R1676" s="629"/>
      <c r="S1676" s="629"/>
      <c r="T1676" s="630"/>
      <c r="AM1676" s="250"/>
    </row>
    <row r="1677" spans="1:39" s="258" customFormat="1" ht="52.5" customHeight="1" x14ac:dyDescent="0.45">
      <c r="A1677" s="313"/>
      <c r="B1677" s="381" t="s">
        <v>418</v>
      </c>
      <c r="C1677" s="125"/>
      <c r="D1677" s="126"/>
      <c r="E1677" s="513"/>
      <c r="F1677" s="251"/>
      <c r="G1677" s="104"/>
      <c r="H1677" s="104"/>
      <c r="I1677" s="104"/>
      <c r="J1677" s="104"/>
      <c r="K1677" s="104"/>
      <c r="L1677" s="104"/>
      <c r="M1677" s="483"/>
      <c r="N1677" s="483"/>
      <c r="O1677" s="483"/>
      <c r="P1677" s="483"/>
      <c r="Q1677" s="483"/>
      <c r="R1677" s="483"/>
      <c r="S1677" s="483"/>
      <c r="T1677" s="483"/>
      <c r="AM1677" s="259"/>
    </row>
    <row r="1678" spans="1:39" s="258" customFormat="1" ht="52.5" customHeight="1" thickBot="1" x14ac:dyDescent="0.5">
      <c r="A1678" s="486"/>
      <c r="B1678" s="388"/>
      <c r="C1678" s="631"/>
      <c r="D1678" s="63"/>
      <c r="E1678" s="385"/>
      <c r="F1678" s="265"/>
      <c r="G1678" s="489"/>
      <c r="H1678" s="489"/>
      <c r="I1678" s="489"/>
      <c r="J1678" s="489"/>
      <c r="K1678" s="489"/>
      <c r="L1678" s="489"/>
      <c r="M1678" s="489"/>
      <c r="N1678" s="489"/>
      <c r="O1678" s="489"/>
      <c r="P1678" s="489"/>
      <c r="Q1678" s="489"/>
      <c r="R1678" s="489"/>
      <c r="S1678" s="178">
        <f>SUM(S1672:S1677)</f>
        <v>0</v>
      </c>
      <c r="T1678" s="87">
        <f>SUM(T1672:T1677)</f>
        <v>126000</v>
      </c>
      <c r="AM1678" s="259"/>
    </row>
    <row r="1679" spans="1:39" s="258" customFormat="1" ht="52.5" customHeight="1" x14ac:dyDescent="0.45">
      <c r="A1679" s="486"/>
      <c r="B1679" s="388"/>
      <c r="C1679" s="631"/>
      <c r="D1679" s="63"/>
      <c r="E1679" s="385"/>
      <c r="F1679" s="264"/>
      <c r="G1679" s="484"/>
      <c r="H1679" s="484"/>
      <c r="I1679" s="484"/>
      <c r="J1679" s="484"/>
      <c r="K1679" s="484"/>
      <c r="L1679" s="484"/>
      <c r="M1679" s="484"/>
      <c r="N1679" s="484"/>
      <c r="O1679" s="484"/>
      <c r="P1679" s="484"/>
      <c r="Q1679" s="484"/>
      <c r="R1679" s="484"/>
      <c r="S1679" s="286"/>
      <c r="T1679" s="286"/>
      <c r="AM1679" s="259"/>
    </row>
    <row r="1680" spans="1:39" s="374" customFormat="1" ht="52.5" customHeight="1" x14ac:dyDescent="0.4">
      <c r="A1680" s="368" t="s">
        <v>6</v>
      </c>
      <c r="B1680" s="368" t="s">
        <v>7</v>
      </c>
      <c r="C1680" s="369" t="s">
        <v>8</v>
      </c>
      <c r="D1680" s="370" t="s">
        <v>231</v>
      </c>
      <c r="E1680" s="371" t="s">
        <v>10</v>
      </c>
      <c r="F1680" s="372" t="s">
        <v>11</v>
      </c>
      <c r="G1680" s="476" t="s">
        <v>12</v>
      </c>
      <c r="H1680" s="476" t="s">
        <v>13</v>
      </c>
      <c r="I1680" s="476" t="s">
        <v>14</v>
      </c>
      <c r="J1680" s="476" t="s">
        <v>15</v>
      </c>
      <c r="K1680" s="476" t="s">
        <v>16</v>
      </c>
      <c r="L1680" s="476" t="s">
        <v>17</v>
      </c>
      <c r="M1680" s="476" t="s">
        <v>18</v>
      </c>
      <c r="N1680" s="476" t="s">
        <v>19</v>
      </c>
      <c r="O1680" s="476" t="s">
        <v>20</v>
      </c>
      <c r="P1680" s="476" t="s">
        <v>21</v>
      </c>
      <c r="Q1680" s="476" t="s">
        <v>22</v>
      </c>
      <c r="R1680" s="476" t="s">
        <v>23</v>
      </c>
      <c r="S1680" s="20" t="s">
        <v>24</v>
      </c>
      <c r="T1680" s="20" t="s">
        <v>25</v>
      </c>
      <c r="AM1680" s="375"/>
    </row>
    <row r="1681" spans="1:39" ht="51.75" customHeight="1" x14ac:dyDescent="0.25">
      <c r="A1681" s="602" t="s">
        <v>419</v>
      </c>
      <c r="B1681" s="17"/>
      <c r="C1681" s="377" t="s">
        <v>420</v>
      </c>
      <c r="D1681" s="19"/>
      <c r="E1681" s="26">
        <v>2025</v>
      </c>
      <c r="F1681" s="27">
        <v>5000</v>
      </c>
      <c r="G1681" s="22"/>
      <c r="H1681" s="22"/>
      <c r="I1681" s="22"/>
      <c r="J1681" s="22"/>
      <c r="K1681" s="22">
        <v>60000</v>
      </c>
      <c r="L1681" s="22"/>
      <c r="M1681" s="22"/>
      <c r="N1681" s="22"/>
      <c r="O1681" s="22"/>
      <c r="P1681" s="22"/>
      <c r="Q1681" s="22"/>
      <c r="R1681" s="22"/>
      <c r="S1681" s="64">
        <f>SUM(G1681:R1681)</f>
        <v>60000</v>
      </c>
      <c r="T1681" s="29">
        <f>SUM(F1681*IF(E1681=_current_year,_current_month,12)-(S1681))</f>
        <v>0</v>
      </c>
    </row>
    <row r="1682" spans="1:39" ht="51.75" customHeight="1" x14ac:dyDescent="0.25">
      <c r="A1682" s="603"/>
      <c r="B1682" s="17"/>
      <c r="C1682" s="379"/>
      <c r="D1682" s="19"/>
      <c r="E1682" s="30">
        <v>2024</v>
      </c>
      <c r="F1682" s="27">
        <v>3000</v>
      </c>
      <c r="G1682" s="22">
        <v>36000</v>
      </c>
      <c r="H1682" s="22"/>
      <c r="I1682" s="22"/>
      <c r="J1682" s="22"/>
      <c r="K1682" s="22"/>
      <c r="L1682" s="22"/>
      <c r="M1682" s="22"/>
      <c r="N1682" s="22"/>
      <c r="O1682" s="22"/>
      <c r="P1682" s="22"/>
      <c r="Q1682" s="22"/>
      <c r="R1682" s="22"/>
      <c r="S1682" s="37">
        <f>SUM(G1682:R1682)</f>
        <v>36000</v>
      </c>
      <c r="T1682" s="22">
        <f>SUM(F1682*IF(E1682=_current_year,_current_month,12)-(S1682))</f>
        <v>0</v>
      </c>
    </row>
    <row r="1683" spans="1:39" ht="51.75" customHeight="1" x14ac:dyDescent="0.25">
      <c r="A1683" s="603"/>
      <c r="B1683" s="17"/>
      <c r="C1683" s="380"/>
      <c r="D1683" s="19"/>
      <c r="E1683" s="30">
        <v>2023</v>
      </c>
      <c r="F1683" s="27">
        <v>3000</v>
      </c>
      <c r="G1683" s="22"/>
      <c r="H1683" s="22"/>
      <c r="I1683" s="22"/>
      <c r="J1683" s="22">
        <v>30000</v>
      </c>
      <c r="K1683" s="22">
        <v>6000</v>
      </c>
      <c r="L1683" s="22"/>
      <c r="M1683" s="22"/>
      <c r="N1683" s="22"/>
      <c r="O1683" s="22"/>
      <c r="P1683" s="22"/>
      <c r="Q1683" s="22"/>
      <c r="R1683" s="22"/>
      <c r="S1683" s="37">
        <f>SUM(G1683:R1683)</f>
        <v>36000</v>
      </c>
      <c r="T1683" s="22">
        <f>SUM(F1683*12)-(S1683)</f>
        <v>0</v>
      </c>
    </row>
    <row r="1684" spans="1:39" s="220" customFormat="1" ht="48" customHeight="1" x14ac:dyDescent="0.4">
      <c r="A1684" s="603"/>
      <c r="B1684" s="33" t="s">
        <v>28</v>
      </c>
      <c r="C1684" s="142" t="s">
        <v>171</v>
      </c>
      <c r="D1684" s="35"/>
      <c r="E1684" s="30">
        <v>2022</v>
      </c>
      <c r="F1684" s="632">
        <v>3000</v>
      </c>
      <c r="G1684" s="104"/>
      <c r="H1684" s="104"/>
      <c r="I1684" s="104"/>
      <c r="J1684" s="22">
        <v>6000</v>
      </c>
      <c r="K1684" s="36"/>
      <c r="L1684" s="36"/>
      <c r="M1684" s="36"/>
      <c r="N1684" s="60"/>
      <c r="O1684" s="36"/>
      <c r="P1684" s="36"/>
      <c r="Q1684" s="36"/>
      <c r="R1684" s="36"/>
      <c r="S1684" s="37">
        <v>18000</v>
      </c>
      <c r="T1684" s="22">
        <f>SUM(F1684*6)-(S1684)</f>
        <v>0</v>
      </c>
      <c r="AM1684" s="250"/>
    </row>
    <row r="1685" spans="1:39" s="220" customFormat="1" ht="52.5" customHeight="1" x14ac:dyDescent="0.4">
      <c r="A1685" s="633"/>
      <c r="B1685" s="33" t="s">
        <v>28</v>
      </c>
      <c r="C1685" s="80" t="s">
        <v>52</v>
      </c>
      <c r="D1685" s="80"/>
      <c r="E1685" s="104" t="s">
        <v>421</v>
      </c>
      <c r="F1685" s="634"/>
      <c r="G1685" s="383"/>
      <c r="H1685" s="383"/>
      <c r="I1685" s="383"/>
      <c r="J1685" s="383"/>
      <c r="K1685" s="383"/>
      <c r="L1685" s="383"/>
      <c r="M1685" s="383"/>
      <c r="N1685" s="634"/>
      <c r="O1685" s="634"/>
      <c r="P1685" s="634"/>
      <c r="Q1685" s="634"/>
      <c r="R1685" s="634"/>
      <c r="S1685" s="634"/>
      <c r="T1685" s="635"/>
      <c r="AM1685" s="250"/>
    </row>
    <row r="1686" spans="1:39" s="258" customFormat="1" ht="52.5" customHeight="1" x14ac:dyDescent="0.45">
      <c r="A1686" s="633"/>
      <c r="B1686" s="381" t="s">
        <v>28</v>
      </c>
      <c r="C1686" s="82"/>
      <c r="D1686" s="82"/>
      <c r="E1686" s="104" t="s">
        <v>422</v>
      </c>
      <c r="F1686" s="383"/>
      <c r="G1686" s="383"/>
      <c r="H1686" s="383"/>
      <c r="I1686" s="383"/>
      <c r="J1686" s="383"/>
      <c r="K1686" s="383"/>
      <c r="L1686" s="383"/>
      <c r="M1686" s="383"/>
      <c r="N1686" s="383"/>
      <c r="O1686" s="383"/>
      <c r="P1686" s="383"/>
      <c r="Q1686" s="383"/>
      <c r="R1686" s="383"/>
      <c r="S1686" s="383"/>
      <c r="T1686" s="636"/>
      <c r="AM1686" s="259"/>
    </row>
    <row r="1687" spans="1:39" s="258" customFormat="1" ht="52.5" customHeight="1" x14ac:dyDescent="0.45">
      <c r="A1687" s="633"/>
      <c r="B1687" s="381"/>
      <c r="C1687" s="82"/>
      <c r="D1687" s="82"/>
      <c r="E1687" s="104" t="s">
        <v>423</v>
      </c>
      <c r="F1687" s="383"/>
      <c r="G1687" s="383"/>
      <c r="H1687" s="383"/>
      <c r="I1687" s="383"/>
      <c r="J1687" s="383"/>
      <c r="K1687" s="383"/>
      <c r="L1687" s="383"/>
      <c r="M1687" s="383"/>
      <c r="N1687" s="383"/>
      <c r="O1687" s="383"/>
      <c r="P1687" s="383"/>
      <c r="Q1687" s="383"/>
      <c r="R1687" s="383"/>
      <c r="S1687" s="383"/>
      <c r="T1687" s="636"/>
      <c r="AM1687" s="259"/>
    </row>
    <row r="1688" spans="1:39" s="258" customFormat="1" ht="52.5" customHeight="1" thickBot="1" x14ac:dyDescent="0.8">
      <c r="A1688" s="382"/>
      <c r="B1688" s="381"/>
      <c r="C1688" s="82"/>
      <c r="D1688" s="82"/>
      <c r="E1688" s="385"/>
      <c r="F1688" s="265"/>
      <c r="G1688" s="489"/>
      <c r="H1688" s="489"/>
      <c r="I1688" s="489"/>
      <c r="J1688" s="489"/>
      <c r="K1688" s="489"/>
      <c r="L1688" s="489"/>
      <c r="M1688" s="489"/>
      <c r="N1688" s="489"/>
      <c r="O1688" s="489"/>
      <c r="P1688" s="489"/>
      <c r="Q1688" s="489"/>
      <c r="R1688" s="489"/>
      <c r="S1688" s="178">
        <f>SUM(S1681:S1687)</f>
        <v>150000</v>
      </c>
      <c r="T1688" s="87">
        <f>SUM(T1681:T1687)</f>
        <v>0</v>
      </c>
      <c r="AM1688" s="259"/>
    </row>
    <row r="1689" spans="1:39" s="258" customFormat="1" ht="52.5" customHeight="1" x14ac:dyDescent="0.45">
      <c r="A1689" s="486"/>
      <c r="B1689" s="388"/>
      <c r="C1689" s="631"/>
      <c r="D1689" s="63"/>
      <c r="E1689" s="385"/>
      <c r="F1689" s="264"/>
      <c r="G1689" s="484"/>
      <c r="H1689" s="484"/>
      <c r="I1689" s="484"/>
      <c r="J1689" s="484"/>
      <c r="K1689" s="484"/>
      <c r="L1689" s="484"/>
      <c r="M1689" s="484"/>
      <c r="N1689" s="484"/>
      <c r="O1689" s="484"/>
      <c r="P1689" s="484"/>
      <c r="Q1689" s="484"/>
      <c r="R1689" s="484"/>
      <c r="S1689" s="286"/>
      <c r="T1689" s="286"/>
      <c r="AM1689" s="259"/>
    </row>
    <row r="1690" spans="1:39" s="374" customFormat="1" ht="52.5" customHeight="1" x14ac:dyDescent="0.4">
      <c r="A1690" s="368" t="s">
        <v>6</v>
      </c>
      <c r="B1690" s="368" t="s">
        <v>7</v>
      </c>
      <c r="C1690" s="369" t="s">
        <v>8</v>
      </c>
      <c r="D1690" s="370" t="s">
        <v>231</v>
      </c>
      <c r="E1690" s="371" t="s">
        <v>10</v>
      </c>
      <c r="F1690" s="372" t="s">
        <v>11</v>
      </c>
      <c r="G1690" s="476" t="s">
        <v>12</v>
      </c>
      <c r="H1690" s="476" t="s">
        <v>13</v>
      </c>
      <c r="I1690" s="476" t="s">
        <v>14</v>
      </c>
      <c r="J1690" s="476" t="s">
        <v>15</v>
      </c>
      <c r="K1690" s="476" t="s">
        <v>16</v>
      </c>
      <c r="L1690" s="476" t="s">
        <v>17</v>
      </c>
      <c r="M1690" s="476" t="s">
        <v>18</v>
      </c>
      <c r="N1690" s="476" t="s">
        <v>19</v>
      </c>
      <c r="O1690" s="476" t="s">
        <v>20</v>
      </c>
      <c r="P1690" s="476" t="s">
        <v>21</v>
      </c>
      <c r="Q1690" s="476" t="s">
        <v>22</v>
      </c>
      <c r="R1690" s="476" t="s">
        <v>23</v>
      </c>
      <c r="S1690" s="20" t="s">
        <v>24</v>
      </c>
      <c r="T1690" s="20" t="s">
        <v>25</v>
      </c>
      <c r="AM1690" s="375"/>
    </row>
    <row r="1691" spans="1:39" ht="51.75" customHeight="1" x14ac:dyDescent="0.25">
      <c r="A1691" s="562"/>
      <c r="B1691" s="17"/>
      <c r="C1691" s="598" t="s">
        <v>424</v>
      </c>
      <c r="D1691" s="19"/>
      <c r="E1691" s="26">
        <v>2025</v>
      </c>
      <c r="F1691" s="27">
        <v>10000</v>
      </c>
      <c r="G1691" s="22"/>
      <c r="H1691" s="22"/>
      <c r="I1691" s="22"/>
      <c r="J1691" s="22"/>
      <c r="K1691" s="22"/>
      <c r="L1691" s="22"/>
      <c r="M1691" s="22"/>
      <c r="N1691" s="22"/>
      <c r="O1691" s="22"/>
      <c r="P1691" s="22"/>
      <c r="Q1691" s="22"/>
      <c r="R1691" s="22"/>
      <c r="S1691" s="64">
        <f t="shared" ref="S1691:S1701" si="94">SUM(G1691:R1691)</f>
        <v>0</v>
      </c>
      <c r="T1691" s="29">
        <f>SUM(F1691*IF(E1691=_current_year,_current_month,12)-(S1691))</f>
        <v>120000</v>
      </c>
    </row>
    <row r="1692" spans="1:39" ht="51.75" customHeight="1" x14ac:dyDescent="0.25">
      <c r="A1692" s="477" t="s">
        <v>425</v>
      </c>
      <c r="B1692" s="17"/>
      <c r="C1692" s="612"/>
      <c r="D1692" s="19"/>
      <c r="E1692" s="30">
        <v>2024</v>
      </c>
      <c r="F1692" s="27">
        <v>5000</v>
      </c>
      <c r="G1692" s="22"/>
      <c r="H1692" s="22"/>
      <c r="I1692" s="22"/>
      <c r="J1692" s="22">
        <v>1100000</v>
      </c>
      <c r="K1692" s="22"/>
      <c r="L1692" s="22"/>
      <c r="M1692" s="22"/>
      <c r="N1692" s="22"/>
      <c r="O1692" s="22"/>
      <c r="P1692" s="22"/>
      <c r="Q1692" s="22"/>
      <c r="R1692" s="22"/>
      <c r="S1692" s="37">
        <f t="shared" si="94"/>
        <v>1100000</v>
      </c>
      <c r="T1692" s="22">
        <f>SUM(F1692*IF(E1692=_current_year,_current_month,12)-(S1692))</f>
        <v>-1040000</v>
      </c>
    </row>
    <row r="1693" spans="1:39" ht="51.75" customHeight="1" x14ac:dyDescent="0.25">
      <c r="A1693" s="479"/>
      <c r="B1693" s="17"/>
      <c r="C1693" s="612"/>
      <c r="D1693" s="19"/>
      <c r="E1693" s="30">
        <v>2023</v>
      </c>
      <c r="F1693" s="27">
        <v>5000</v>
      </c>
      <c r="G1693" s="22"/>
      <c r="H1693" s="22"/>
      <c r="I1693" s="22"/>
      <c r="J1693" s="22"/>
      <c r="K1693" s="22"/>
      <c r="L1693" s="22"/>
      <c r="M1693" s="22"/>
      <c r="N1693" s="22"/>
      <c r="O1693" s="22"/>
      <c r="P1693" s="22"/>
      <c r="Q1693" s="22"/>
      <c r="R1693" s="22"/>
      <c r="S1693" s="37">
        <f t="shared" si="94"/>
        <v>0</v>
      </c>
      <c r="T1693" s="22">
        <f>SUM(F1693*IF(E1693=_current_year,_current_month,12)-(S1693))</f>
        <v>60000</v>
      </c>
    </row>
    <row r="1694" spans="1:39" s="220" customFormat="1" ht="48" customHeight="1" x14ac:dyDescent="0.4">
      <c r="A1694" s="479"/>
      <c r="B1694" s="33" t="s">
        <v>28</v>
      </c>
      <c r="C1694" s="599"/>
      <c r="D1694" s="35"/>
      <c r="E1694" s="30">
        <v>2022</v>
      </c>
      <c r="F1694" s="251">
        <v>5000</v>
      </c>
      <c r="G1694" s="36"/>
      <c r="H1694" s="36"/>
      <c r="I1694" s="36"/>
      <c r="J1694" s="36"/>
      <c r="K1694" s="36"/>
      <c r="L1694" s="36"/>
      <c r="M1694" s="36"/>
      <c r="N1694" s="36"/>
      <c r="O1694" s="36"/>
      <c r="P1694" s="36"/>
      <c r="Q1694" s="36"/>
      <c r="R1694" s="36"/>
      <c r="S1694" s="37">
        <f t="shared" si="94"/>
        <v>0</v>
      </c>
      <c r="T1694" s="37">
        <f t="shared" ref="T1694:T1701" si="95">SUM(60000-S1694)</f>
        <v>60000</v>
      </c>
      <c r="AM1694" s="250"/>
    </row>
    <row r="1695" spans="1:39" s="220" customFormat="1" ht="52.5" customHeight="1" x14ac:dyDescent="0.4">
      <c r="A1695" s="313" t="s">
        <v>311</v>
      </c>
      <c r="B1695" s="33" t="s">
        <v>28</v>
      </c>
      <c r="C1695" s="38" t="s">
        <v>52</v>
      </c>
      <c r="D1695" s="124"/>
      <c r="E1695" s="30">
        <v>2021</v>
      </c>
      <c r="F1695" s="251">
        <v>5000</v>
      </c>
      <c r="G1695" s="482"/>
      <c r="H1695" s="482"/>
      <c r="I1695" s="482"/>
      <c r="J1695" s="482"/>
      <c r="K1695" s="482"/>
      <c r="L1695" s="482"/>
      <c r="M1695" s="482"/>
      <c r="N1695" s="482"/>
      <c r="O1695" s="482"/>
      <c r="P1695" s="482"/>
      <c r="Q1695" s="482"/>
      <c r="R1695" s="482"/>
      <c r="S1695" s="252">
        <f t="shared" si="94"/>
        <v>0</v>
      </c>
      <c r="T1695" s="252">
        <f t="shared" si="95"/>
        <v>60000</v>
      </c>
      <c r="AM1695" s="250"/>
    </row>
    <row r="1696" spans="1:39" s="258" customFormat="1" ht="52.5" customHeight="1" x14ac:dyDescent="0.45">
      <c r="A1696" s="313"/>
      <c r="B1696" s="381" t="s">
        <v>28</v>
      </c>
      <c r="C1696" s="125"/>
      <c r="D1696" s="126"/>
      <c r="E1696" s="513">
        <v>2020</v>
      </c>
      <c r="F1696" s="251">
        <v>5000</v>
      </c>
      <c r="G1696" s="516"/>
      <c r="H1696" s="516"/>
      <c r="I1696" s="516"/>
      <c r="J1696" s="516"/>
      <c r="K1696" s="516"/>
      <c r="L1696" s="516"/>
      <c r="M1696" s="516"/>
      <c r="N1696" s="516"/>
      <c r="O1696" s="516"/>
      <c r="P1696" s="516"/>
      <c r="Q1696" s="516"/>
      <c r="R1696" s="516"/>
      <c r="S1696" s="252">
        <f t="shared" si="94"/>
        <v>0</v>
      </c>
      <c r="T1696" s="257">
        <f t="shared" si="95"/>
        <v>60000</v>
      </c>
      <c r="AM1696" s="259"/>
    </row>
    <row r="1697" spans="1:42" s="258" customFormat="1" ht="52.5" customHeight="1" x14ac:dyDescent="0.45">
      <c r="A1697" s="515"/>
      <c r="B1697" s="381"/>
      <c r="C1697" s="125"/>
      <c r="D1697" s="126"/>
      <c r="E1697" s="513">
        <v>2019</v>
      </c>
      <c r="F1697" s="251">
        <v>5000</v>
      </c>
      <c r="G1697" s="516"/>
      <c r="H1697" s="516"/>
      <c r="I1697" s="516"/>
      <c r="J1697" s="516"/>
      <c r="K1697" s="516"/>
      <c r="L1697" s="516"/>
      <c r="M1697" s="516"/>
      <c r="N1697" s="516"/>
      <c r="O1697" s="516"/>
      <c r="P1697" s="516"/>
      <c r="Q1697" s="516"/>
      <c r="R1697" s="516"/>
      <c r="S1697" s="252">
        <f t="shared" si="94"/>
        <v>0</v>
      </c>
      <c r="T1697" s="257">
        <f t="shared" si="95"/>
        <v>60000</v>
      </c>
      <c r="AM1697" s="259"/>
    </row>
    <row r="1698" spans="1:42" s="258" customFormat="1" ht="52.5" customHeight="1" x14ac:dyDescent="0.75">
      <c r="A1698" s="462"/>
      <c r="B1698" s="381"/>
      <c r="C1698" s="125"/>
      <c r="D1698" s="126"/>
      <c r="E1698" s="513">
        <v>2018</v>
      </c>
      <c r="F1698" s="251">
        <v>5000</v>
      </c>
      <c r="G1698" s="516"/>
      <c r="H1698" s="516"/>
      <c r="I1698" s="516"/>
      <c r="J1698" s="516"/>
      <c r="K1698" s="516"/>
      <c r="L1698" s="516"/>
      <c r="M1698" s="516"/>
      <c r="N1698" s="516"/>
      <c r="O1698" s="516"/>
      <c r="P1698" s="516"/>
      <c r="Q1698" s="516"/>
      <c r="R1698" s="516"/>
      <c r="S1698" s="252">
        <f t="shared" si="94"/>
        <v>0</v>
      </c>
      <c r="T1698" s="257">
        <f t="shared" si="95"/>
        <v>60000</v>
      </c>
      <c r="AL1698" s="637" t="s">
        <v>426</v>
      </c>
      <c r="AM1698" s="638" t="s">
        <v>427</v>
      </c>
      <c r="AN1698" s="637" t="s">
        <v>428</v>
      </c>
      <c r="AO1698" s="637" t="s">
        <v>429</v>
      </c>
      <c r="AP1698" s="637" t="s">
        <v>430</v>
      </c>
    </row>
    <row r="1699" spans="1:42" s="258" customFormat="1" ht="52.5" customHeight="1" x14ac:dyDescent="0.75">
      <c r="A1699" s="462"/>
      <c r="B1699" s="381"/>
      <c r="C1699" s="125"/>
      <c r="D1699" s="126"/>
      <c r="E1699" s="513">
        <v>2017</v>
      </c>
      <c r="F1699" s="251">
        <v>5000</v>
      </c>
      <c r="G1699" s="516"/>
      <c r="H1699" s="516"/>
      <c r="I1699" s="516"/>
      <c r="J1699" s="516"/>
      <c r="K1699" s="516"/>
      <c r="L1699" s="516"/>
      <c r="M1699" s="535"/>
      <c r="N1699" s="535"/>
      <c r="O1699" s="535"/>
      <c r="P1699" s="535"/>
      <c r="Q1699" s="535"/>
      <c r="R1699" s="535"/>
      <c r="S1699" s="252">
        <f t="shared" si="94"/>
        <v>0</v>
      </c>
      <c r="T1699" s="257">
        <f t="shared" si="95"/>
        <v>60000</v>
      </c>
      <c r="AL1699" s="639">
        <v>44866</v>
      </c>
      <c r="AM1699" s="640">
        <v>30000</v>
      </c>
      <c r="AN1699" s="641">
        <v>10</v>
      </c>
      <c r="AO1699" s="642" t="s">
        <v>431</v>
      </c>
      <c r="AP1699" s="643" t="s">
        <v>432</v>
      </c>
    </row>
    <row r="1700" spans="1:42" s="258" customFormat="1" ht="52.5" customHeight="1" x14ac:dyDescent="0.75">
      <c r="A1700" s="462"/>
      <c r="B1700" s="381"/>
      <c r="C1700" s="125"/>
      <c r="D1700" s="126"/>
      <c r="E1700" s="513">
        <v>2016</v>
      </c>
      <c r="F1700" s="251">
        <v>5000</v>
      </c>
      <c r="G1700" s="514">
        <v>5000</v>
      </c>
      <c r="H1700" s="514">
        <v>5000</v>
      </c>
      <c r="I1700" s="514">
        <v>5000</v>
      </c>
      <c r="J1700" s="514"/>
      <c r="K1700" s="514"/>
      <c r="L1700" s="514"/>
      <c r="M1700" s="514"/>
      <c r="N1700" s="514"/>
      <c r="O1700" s="514"/>
      <c r="P1700" s="514"/>
      <c r="Q1700" s="514"/>
      <c r="R1700" s="514"/>
      <c r="S1700" s="252">
        <f t="shared" si="94"/>
        <v>15000</v>
      </c>
      <c r="T1700" s="257">
        <f t="shared" si="95"/>
        <v>45000</v>
      </c>
      <c r="AL1700" s="639">
        <v>45323</v>
      </c>
      <c r="AM1700" s="640">
        <v>20000</v>
      </c>
      <c r="AN1700" s="641">
        <v>6</v>
      </c>
      <c r="AO1700" s="642" t="s">
        <v>433</v>
      </c>
      <c r="AP1700" s="643" t="s">
        <v>434</v>
      </c>
    </row>
    <row r="1701" spans="1:42" s="258" customFormat="1" ht="52.5" customHeight="1" x14ac:dyDescent="0.75">
      <c r="A1701" s="551"/>
      <c r="B1701" s="381"/>
      <c r="C1701" s="129"/>
      <c r="D1701" s="130"/>
      <c r="E1701" s="513">
        <v>2015</v>
      </c>
      <c r="F1701" s="251">
        <v>5000</v>
      </c>
      <c r="G1701" s="514">
        <v>5000</v>
      </c>
      <c r="H1701" s="514">
        <v>5000</v>
      </c>
      <c r="I1701" s="514">
        <v>5000</v>
      </c>
      <c r="J1701" s="514">
        <v>5000</v>
      </c>
      <c r="K1701" s="514">
        <v>5000</v>
      </c>
      <c r="L1701" s="514">
        <v>5000</v>
      </c>
      <c r="M1701" s="514">
        <v>5000</v>
      </c>
      <c r="N1701" s="514">
        <v>5000</v>
      </c>
      <c r="O1701" s="514">
        <v>5000</v>
      </c>
      <c r="P1701" s="514">
        <v>5000</v>
      </c>
      <c r="Q1701" s="514">
        <v>5000</v>
      </c>
      <c r="R1701" s="514">
        <v>5000</v>
      </c>
      <c r="S1701" s="252">
        <f t="shared" si="94"/>
        <v>60000</v>
      </c>
      <c r="T1701" s="257">
        <f t="shared" si="95"/>
        <v>0</v>
      </c>
      <c r="AL1701" s="639">
        <v>45383</v>
      </c>
      <c r="AM1701" s="640">
        <v>10000</v>
      </c>
      <c r="AN1701" s="641">
        <v>4</v>
      </c>
      <c r="AO1701" s="642" t="s">
        <v>435</v>
      </c>
      <c r="AP1701" s="643" t="s">
        <v>436</v>
      </c>
    </row>
    <row r="1702" spans="1:42" s="258" customFormat="1" ht="60" thickBot="1" x14ac:dyDescent="0.8">
      <c r="A1702" s="644"/>
      <c r="B1702" s="644"/>
      <c r="C1702" s="644"/>
      <c r="D1702" s="644"/>
      <c r="E1702" s="644"/>
      <c r="F1702" s="644"/>
      <c r="G1702" s="645" t="s">
        <v>437</v>
      </c>
      <c r="H1702" s="644"/>
      <c r="I1702" s="644"/>
      <c r="J1702" s="489"/>
      <c r="K1702" s="489"/>
      <c r="L1702" s="489"/>
      <c r="M1702" s="489"/>
      <c r="N1702" s="489"/>
      <c r="O1702" s="489"/>
      <c r="P1702" s="489"/>
      <c r="Q1702" s="489"/>
      <c r="R1702" s="489"/>
      <c r="S1702" s="178">
        <f>SUM(S1692:S1701)</f>
        <v>1175000</v>
      </c>
      <c r="T1702" s="87">
        <f>SUM(T1692:T1701)</f>
        <v>-575000</v>
      </c>
      <c r="AL1702" s="639">
        <v>45536</v>
      </c>
      <c r="AM1702" s="640">
        <v>12000</v>
      </c>
      <c r="AN1702" s="641">
        <v>4</v>
      </c>
      <c r="AO1702" s="642" t="s">
        <v>438</v>
      </c>
      <c r="AP1702" s="643" t="s">
        <v>439</v>
      </c>
    </row>
    <row r="1703" spans="1:42" ht="61.5" x14ac:dyDescent="0.6">
      <c r="G1703" s="646"/>
      <c r="AL1703" s="647" t="s">
        <v>440</v>
      </c>
      <c r="AM1703" s="648"/>
      <c r="AN1703" s="649"/>
      <c r="AO1703" s="650"/>
      <c r="AP1703" s="650"/>
    </row>
    <row r="1704" spans="1:42" ht="39" customHeight="1" x14ac:dyDescent="0.6">
      <c r="K1704" s="651" t="s">
        <v>441</v>
      </c>
      <c r="L1704" s="651"/>
      <c r="M1704" s="651"/>
      <c r="N1704" s="651"/>
      <c r="O1704" s="651"/>
      <c r="P1704" s="651"/>
      <c r="Q1704" s="651"/>
      <c r="R1704" s="651"/>
      <c r="S1704" s="651"/>
      <c r="T1704"/>
      <c r="AL1704" s="639">
        <v>45689</v>
      </c>
      <c r="AM1704" s="640">
        <v>30000</v>
      </c>
      <c r="AN1704" s="641">
        <v>6</v>
      </c>
      <c r="AO1704" s="639" t="s">
        <v>442</v>
      </c>
      <c r="AP1704" s="639"/>
    </row>
    <row r="1705" spans="1:42" ht="39" customHeight="1" x14ac:dyDescent="0.6">
      <c r="K1705" s="652"/>
      <c r="L1705" s="652"/>
      <c r="M1705" s="652"/>
      <c r="N1705" s="652"/>
      <c r="O1705" s="652"/>
      <c r="P1705" s="652"/>
      <c r="Q1705" s="652"/>
      <c r="R1705" s="652"/>
      <c r="S1705" s="652"/>
      <c r="T1705"/>
    </row>
    <row r="1706" spans="1:42" s="57" customFormat="1" x14ac:dyDescent="0.6">
      <c r="A1706"/>
      <c r="B1706"/>
      <c r="C1706" s="116"/>
      <c r="D1706" s="117"/>
      <c r="F1706" s="118"/>
      <c r="S1706" s="229"/>
      <c r="T1706" s="229"/>
      <c r="AM1706" s="230"/>
    </row>
    <row r="1707" spans="1:42" s="57" customFormat="1" x14ac:dyDescent="0.6">
      <c r="A1707"/>
      <c r="B1707"/>
      <c r="C1707" s="116"/>
      <c r="D1707" s="117"/>
      <c r="F1707" s="118"/>
      <c r="S1707" s="229"/>
      <c r="T1707" s="229"/>
      <c r="AM1707" s="230"/>
    </row>
    <row r="1708" spans="1:42" s="232" customFormat="1" ht="31.5" customHeight="1" x14ac:dyDescent="0.35">
      <c r="A1708" s="11" t="s">
        <v>4</v>
      </c>
      <c r="B1708" s="473"/>
      <c r="C1708" s="473"/>
      <c r="D1708" s="473"/>
      <c r="E1708" s="473"/>
      <c r="F1708" s="473"/>
      <c r="G1708" s="473"/>
      <c r="H1708" s="473"/>
      <c r="I1708" s="473"/>
      <c r="J1708" s="473"/>
      <c r="K1708" s="473"/>
      <c r="L1708" s="473"/>
      <c r="M1708" s="473"/>
      <c r="N1708" s="473"/>
      <c r="O1708" s="473"/>
      <c r="P1708" s="473"/>
      <c r="Q1708" s="473"/>
      <c r="R1708" s="474"/>
      <c r="S1708" s="231" t="s">
        <v>5</v>
      </c>
      <c r="T1708" s="475"/>
      <c r="AM1708" s="233"/>
    </row>
    <row r="1709" spans="1:42" s="374" customFormat="1" ht="51.75" customHeight="1" x14ac:dyDescent="0.4">
      <c r="A1709" s="241" t="s">
        <v>6</v>
      </c>
      <c r="B1709" s="368" t="s">
        <v>7</v>
      </c>
      <c r="C1709" s="369" t="s">
        <v>8</v>
      </c>
      <c r="D1709" s="518" t="s">
        <v>231</v>
      </c>
      <c r="E1709" s="371" t="s">
        <v>10</v>
      </c>
      <c r="F1709" s="372" t="s">
        <v>11</v>
      </c>
      <c r="G1709" s="476" t="s">
        <v>12</v>
      </c>
      <c r="H1709" s="476" t="s">
        <v>13</v>
      </c>
      <c r="I1709" s="476" t="s">
        <v>14</v>
      </c>
      <c r="J1709" s="476" t="s">
        <v>15</v>
      </c>
      <c r="K1709" s="476" t="s">
        <v>16</v>
      </c>
      <c r="L1709" s="476" t="s">
        <v>17</v>
      </c>
      <c r="M1709" s="476" t="s">
        <v>18</v>
      </c>
      <c r="N1709" s="476" t="s">
        <v>19</v>
      </c>
      <c r="O1709" s="476" t="s">
        <v>20</v>
      </c>
      <c r="P1709" s="476" t="s">
        <v>21</v>
      </c>
      <c r="Q1709" s="476" t="s">
        <v>22</v>
      </c>
      <c r="R1709" s="476" t="s">
        <v>23</v>
      </c>
      <c r="S1709" s="20" t="s">
        <v>24</v>
      </c>
      <c r="T1709" s="20" t="s">
        <v>25</v>
      </c>
      <c r="AM1709" s="375"/>
    </row>
    <row r="1710" spans="1:42" ht="51.75" customHeight="1" x14ac:dyDescent="0.25">
      <c r="A1710" s="653" t="s">
        <v>443</v>
      </c>
      <c r="B1710" s="17"/>
      <c r="C1710" s="654" t="s">
        <v>444</v>
      </c>
      <c r="D1710" s="19" t="str">
        <f>C1710</f>
        <v>MICHAEL FESTUS IHEKWOABA</v>
      </c>
      <c r="E1710" s="26">
        <v>2025</v>
      </c>
      <c r="F1710" s="251">
        <v>5000</v>
      </c>
      <c r="G1710" s="22"/>
      <c r="H1710" s="22">
        <v>30000</v>
      </c>
      <c r="I1710" s="22"/>
      <c r="J1710" s="22"/>
      <c r="K1710" s="22"/>
      <c r="L1710" s="22"/>
      <c r="M1710" s="22"/>
      <c r="N1710" s="22"/>
      <c r="O1710" s="22">
        <v>18000</v>
      </c>
      <c r="P1710" s="22"/>
      <c r="Q1710" s="22"/>
      <c r="R1710" s="22"/>
      <c r="S1710" s="64">
        <f>SUM(G1710:R1710)</f>
        <v>48000</v>
      </c>
      <c r="T1710" s="29">
        <f>SUM(F1710*IF(E1710=_current_year,_current_month,12)-(S1710))</f>
        <v>12000</v>
      </c>
    </row>
    <row r="1711" spans="1:42" ht="51.75" customHeight="1" x14ac:dyDescent="0.25">
      <c r="A1711" s="655"/>
      <c r="B1711" s="17"/>
      <c r="C1711" s="656"/>
      <c r="D1711" s="19"/>
      <c r="E1711" s="30">
        <v>2024</v>
      </c>
      <c r="F1711" s="251">
        <v>3000</v>
      </c>
      <c r="G1711" s="22"/>
      <c r="H1711" s="22">
        <v>20000</v>
      </c>
      <c r="I1711" s="22"/>
      <c r="J1711" s="22">
        <v>10000</v>
      </c>
      <c r="K1711" s="22"/>
      <c r="L1711" s="22"/>
      <c r="M1711" s="22"/>
      <c r="N1711" s="22"/>
      <c r="O1711" s="22">
        <v>12000</v>
      </c>
      <c r="P1711" s="22"/>
      <c r="Q1711" s="22"/>
      <c r="R1711" s="22"/>
      <c r="S1711" s="37">
        <f>SUM(G1711:R1711)</f>
        <v>42000</v>
      </c>
      <c r="T1711" s="22">
        <f>SUM(F1711*IF(E1711=_current_year,_current_month,12)-(S1711))</f>
        <v>-6000</v>
      </c>
    </row>
    <row r="1712" spans="1:42" ht="51.75" customHeight="1" x14ac:dyDescent="0.6">
      <c r="A1712" s="655"/>
      <c r="B1712" s="17"/>
      <c r="C1712" s="657"/>
      <c r="D1712" s="19"/>
      <c r="E1712" s="30">
        <v>2023</v>
      </c>
      <c r="F1712" s="251">
        <v>3000</v>
      </c>
      <c r="G1712" s="22"/>
      <c r="H1712" s="22"/>
      <c r="I1712" s="22"/>
      <c r="J1712" s="22"/>
      <c r="K1712" s="22"/>
      <c r="L1712" s="22"/>
      <c r="M1712" s="22"/>
      <c r="N1712" s="22"/>
      <c r="P1712" s="22"/>
      <c r="Q1712" s="22"/>
      <c r="S1712" s="37">
        <f>SUM(G1712:Q1712)</f>
        <v>0</v>
      </c>
      <c r="T1712" s="22">
        <f>SUM(F1712*12)-(S1712)</f>
        <v>36000</v>
      </c>
    </row>
    <row r="1713" spans="1:39" s="220" customFormat="1" ht="48" customHeight="1" x14ac:dyDescent="0.4">
      <c r="A1713" s="655"/>
      <c r="B1713" s="33" t="s">
        <v>28</v>
      </c>
      <c r="C1713" s="34"/>
      <c r="D1713" s="35"/>
      <c r="E1713" s="30">
        <v>2022</v>
      </c>
      <c r="F1713" s="251">
        <v>3000</v>
      </c>
      <c r="G1713" s="36"/>
      <c r="H1713" s="36"/>
      <c r="I1713" s="36"/>
      <c r="J1713" s="36"/>
      <c r="K1713" s="36"/>
      <c r="L1713" s="36"/>
      <c r="M1713" s="36"/>
      <c r="N1713" s="36"/>
      <c r="O1713" s="36"/>
      <c r="P1713" s="36"/>
      <c r="Q1713" s="60">
        <v>30000</v>
      </c>
      <c r="R1713" s="36"/>
      <c r="S1713" s="37">
        <f>SUM(Q1713:R1713)</f>
        <v>30000</v>
      </c>
      <c r="T1713" s="22">
        <f>SUM(F1713*1)-(S1713)</f>
        <v>-27000</v>
      </c>
      <c r="AM1713" s="250"/>
    </row>
    <row r="1714" spans="1:39" s="220" customFormat="1" ht="51.75" customHeight="1" x14ac:dyDescent="0.4">
      <c r="A1714" s="313" t="s">
        <v>445</v>
      </c>
      <c r="B1714" s="33" t="s">
        <v>28</v>
      </c>
      <c r="C1714" s="80" t="s">
        <v>52</v>
      </c>
      <c r="D1714" s="80"/>
      <c r="E1714" s="90"/>
      <c r="F1714" s="91"/>
      <c r="G1714" s="91"/>
      <c r="H1714" s="91"/>
      <c r="I1714" s="91"/>
      <c r="J1714" s="91"/>
      <c r="K1714" s="91"/>
      <c r="L1714" s="91"/>
      <c r="M1714" s="91"/>
      <c r="N1714" s="91"/>
      <c r="O1714" s="91"/>
      <c r="P1714" s="91"/>
      <c r="Q1714" s="91"/>
      <c r="R1714" s="91"/>
      <c r="S1714" s="91"/>
      <c r="T1714" s="137"/>
      <c r="AM1714" s="250"/>
    </row>
    <row r="1715" spans="1:39" s="523" customFormat="1" ht="51.75" customHeight="1" x14ac:dyDescent="0.35">
      <c r="A1715" s="313"/>
      <c r="B1715" s="523" t="s">
        <v>28</v>
      </c>
      <c r="C1715" s="82"/>
      <c r="D1715" s="82"/>
      <c r="E1715" s="111"/>
      <c r="F1715" s="92"/>
      <c r="G1715" s="92"/>
      <c r="H1715" s="92"/>
      <c r="I1715" s="92"/>
      <c r="J1715" s="92"/>
      <c r="K1715" s="92"/>
      <c r="L1715" s="92"/>
      <c r="M1715" s="92"/>
      <c r="N1715" s="92"/>
      <c r="O1715" s="92"/>
      <c r="P1715" s="92"/>
      <c r="Q1715" s="92"/>
      <c r="R1715" s="92"/>
      <c r="S1715" s="92"/>
      <c r="T1715" s="112"/>
      <c r="AM1715" s="525"/>
    </row>
    <row r="1716" spans="1:39" s="523" customFormat="1" ht="51.75" customHeight="1" thickBot="1" x14ac:dyDescent="0.45">
      <c r="A1716" s="253"/>
      <c r="C1716" s="82"/>
      <c r="D1716" s="82"/>
      <c r="E1716" s="526"/>
      <c r="F1716" s="265"/>
      <c r="G1716" s="489"/>
      <c r="H1716" s="489"/>
      <c r="I1716" s="489"/>
      <c r="J1716" s="489"/>
      <c r="K1716" s="489"/>
      <c r="L1716" s="489"/>
      <c r="M1716" s="489"/>
      <c r="N1716" s="489"/>
      <c r="O1716" s="489"/>
      <c r="P1716" s="489"/>
      <c r="Q1716" s="489"/>
      <c r="R1716" s="489"/>
      <c r="S1716" s="178">
        <f>SUM(S1710:S1715)</f>
        <v>120000</v>
      </c>
      <c r="T1716" s="87">
        <f>SUM(T1710:T1715)</f>
        <v>15000</v>
      </c>
      <c r="AM1716" s="525"/>
    </row>
    <row r="1717" spans="1:39" s="523" customFormat="1" ht="51.75" customHeight="1" x14ac:dyDescent="0.45">
      <c r="A1717" s="253"/>
      <c r="C1717" s="658"/>
      <c r="D1717" s="659"/>
      <c r="F1717" s="253"/>
      <c r="G1717" s="512"/>
      <c r="H1717" s="512"/>
      <c r="I1717" s="512"/>
      <c r="J1717" s="512"/>
      <c r="K1717" s="512"/>
      <c r="L1717" s="512"/>
      <c r="M1717" s="512"/>
      <c r="N1717" s="512"/>
      <c r="O1717" s="512"/>
      <c r="P1717" s="512"/>
      <c r="Q1717" s="512"/>
      <c r="R1717" s="512"/>
      <c r="S1717" s="269"/>
      <c r="T1717" s="269"/>
      <c r="AM1717" s="525"/>
    </row>
    <row r="1718" spans="1:39" s="374" customFormat="1" ht="51.75" customHeight="1" x14ac:dyDescent="0.4">
      <c r="A1718" s="241" t="s">
        <v>6</v>
      </c>
      <c r="B1718" s="368" t="s">
        <v>7</v>
      </c>
      <c r="C1718" s="369" t="s">
        <v>8</v>
      </c>
      <c r="D1718" s="518" t="s">
        <v>231</v>
      </c>
      <c r="E1718" s="371" t="s">
        <v>10</v>
      </c>
      <c r="F1718" s="372" t="s">
        <v>11</v>
      </c>
      <c r="G1718" s="476" t="s">
        <v>12</v>
      </c>
      <c r="H1718" s="476" t="s">
        <v>13</v>
      </c>
      <c r="I1718" s="476" t="s">
        <v>14</v>
      </c>
      <c r="J1718" s="476" t="s">
        <v>15</v>
      </c>
      <c r="K1718" s="476" t="s">
        <v>16</v>
      </c>
      <c r="L1718" s="476" t="s">
        <v>17</v>
      </c>
      <c r="M1718" s="476" t="s">
        <v>18</v>
      </c>
      <c r="N1718" s="476" t="s">
        <v>19</v>
      </c>
      <c r="O1718" s="476" t="s">
        <v>20</v>
      </c>
      <c r="P1718" s="476" t="s">
        <v>21</v>
      </c>
      <c r="Q1718" s="476" t="s">
        <v>22</v>
      </c>
      <c r="R1718" s="476" t="s">
        <v>23</v>
      </c>
      <c r="S1718" s="20" t="s">
        <v>24</v>
      </c>
      <c r="T1718" s="20" t="s">
        <v>25</v>
      </c>
      <c r="AM1718" s="375"/>
    </row>
    <row r="1719" spans="1:39" ht="51.75" customHeight="1" x14ac:dyDescent="0.25">
      <c r="A1719" s="653" t="s">
        <v>446</v>
      </c>
      <c r="B1719" s="17"/>
      <c r="C1719" s="654" t="s">
        <v>447</v>
      </c>
      <c r="D1719" s="84" t="s">
        <v>448</v>
      </c>
      <c r="E1719" s="26">
        <v>2025</v>
      </c>
      <c r="F1719" s="27">
        <v>10000</v>
      </c>
      <c r="G1719" s="22"/>
      <c r="H1719" s="22"/>
      <c r="I1719" s="22"/>
      <c r="J1719" s="22"/>
      <c r="K1719" s="22"/>
      <c r="L1719" s="22"/>
      <c r="M1719" s="22"/>
      <c r="N1719" s="22"/>
      <c r="O1719" s="22"/>
      <c r="P1719" s="22"/>
      <c r="Q1719" s="22"/>
      <c r="R1719" s="22"/>
      <c r="S1719" s="64">
        <f>SUM(G1719:R1719)</f>
        <v>0</v>
      </c>
      <c r="T1719" s="29">
        <f>SUM(F1719*IF(E1719=_current_year,_current_month,12)-(S1719))</f>
        <v>120000</v>
      </c>
    </row>
    <row r="1720" spans="1:39" ht="51.75" customHeight="1" x14ac:dyDescent="0.25">
      <c r="A1720" s="655"/>
      <c r="B1720" s="17"/>
      <c r="C1720" s="656"/>
      <c r="D1720" s="84" t="s">
        <v>448</v>
      </c>
      <c r="E1720" s="30">
        <v>2024</v>
      </c>
      <c r="F1720" s="27">
        <v>5000</v>
      </c>
      <c r="G1720" s="22"/>
      <c r="H1720" s="22"/>
      <c r="I1720" s="22"/>
      <c r="J1720" s="22">
        <v>78000</v>
      </c>
      <c r="K1720" s="22"/>
      <c r="L1720" s="22"/>
      <c r="M1720" s="22"/>
      <c r="N1720" s="22"/>
      <c r="O1720" s="22"/>
      <c r="P1720" s="22"/>
      <c r="Q1720" s="22"/>
      <c r="R1720" s="22"/>
      <c r="S1720" s="37">
        <f>SUM(G1720:R1720)</f>
        <v>78000</v>
      </c>
      <c r="T1720" s="22">
        <f>SUM(F1720*IF(E1720=_current_year,_current_month,12)-(S1720))</f>
        <v>-18000</v>
      </c>
    </row>
    <row r="1721" spans="1:39" ht="51.75" customHeight="1" x14ac:dyDescent="0.25">
      <c r="A1721" s="655"/>
      <c r="B1721" s="17"/>
      <c r="C1721" s="657"/>
      <c r="D1721" s="84"/>
      <c r="E1721" s="30">
        <v>2023</v>
      </c>
      <c r="F1721" s="27">
        <v>5000</v>
      </c>
      <c r="G1721" s="22"/>
      <c r="H1721" s="22"/>
      <c r="I1721" s="22"/>
      <c r="J1721" s="22"/>
      <c r="K1721" s="22"/>
      <c r="L1721" s="22"/>
      <c r="M1721" s="22"/>
      <c r="N1721" s="22"/>
      <c r="O1721" s="22"/>
      <c r="P1721" s="22"/>
      <c r="Q1721" s="22"/>
      <c r="R1721" s="22"/>
      <c r="S1721" s="37">
        <f>SUM(G1721:R1721)</f>
        <v>0</v>
      </c>
      <c r="T1721" s="22">
        <f>SUM(F1721*IF(E1721=_current_year,_current_month,12)-(S1721))</f>
        <v>60000</v>
      </c>
    </row>
    <row r="1722" spans="1:39" s="220" customFormat="1" ht="48" customHeight="1" thickBot="1" x14ac:dyDescent="0.45">
      <c r="A1722" s="655"/>
      <c r="B1722" s="33" t="s">
        <v>28</v>
      </c>
      <c r="C1722" s="34"/>
      <c r="D1722" s="35"/>
      <c r="E1722" s="30">
        <v>2022</v>
      </c>
      <c r="F1722" s="251">
        <v>5000</v>
      </c>
      <c r="G1722" s="36"/>
      <c r="H1722" s="36"/>
      <c r="I1722" s="36"/>
      <c r="J1722" s="36"/>
      <c r="K1722" s="36"/>
      <c r="L1722" s="36"/>
      <c r="M1722" s="36"/>
      <c r="N1722" s="36"/>
      <c r="O1722" s="36">
        <v>12000</v>
      </c>
      <c r="P1722" s="60"/>
      <c r="Q1722" s="36"/>
      <c r="R1722" s="36"/>
      <c r="S1722" s="37">
        <f>SUM(O1722:R1722)</f>
        <v>12000</v>
      </c>
      <c r="T1722" s="178">
        <f>SUM(10000-S1722)</f>
        <v>-2000</v>
      </c>
      <c r="AM1722" s="250"/>
    </row>
    <row r="1723" spans="1:39" s="220" customFormat="1" ht="51.75" customHeight="1" thickTop="1" x14ac:dyDescent="0.4">
      <c r="A1723" s="313" t="s">
        <v>445</v>
      </c>
      <c r="B1723" s="33" t="s">
        <v>28</v>
      </c>
      <c r="C1723" s="80" t="s">
        <v>52</v>
      </c>
      <c r="D1723" s="80"/>
      <c r="E1723" s="90"/>
      <c r="F1723" s="91"/>
      <c r="G1723" s="91"/>
      <c r="H1723" s="91"/>
      <c r="I1723" s="91"/>
      <c r="J1723" s="91"/>
      <c r="K1723" s="91"/>
      <c r="L1723" s="91"/>
      <c r="M1723" s="91"/>
      <c r="N1723" s="91"/>
      <c r="O1723" s="91"/>
      <c r="P1723" s="91"/>
      <c r="Q1723" s="91"/>
      <c r="R1723" s="91"/>
      <c r="S1723" s="91"/>
      <c r="T1723" s="137"/>
      <c r="AM1723" s="250"/>
    </row>
    <row r="1724" spans="1:39" s="523" customFormat="1" ht="51.75" customHeight="1" x14ac:dyDescent="0.35">
      <c r="A1724" s="313"/>
      <c r="B1724" s="523" t="s">
        <v>28</v>
      </c>
      <c r="C1724" s="82"/>
      <c r="D1724" s="82"/>
      <c r="E1724" s="111"/>
      <c r="F1724" s="92"/>
      <c r="G1724" s="92"/>
      <c r="H1724" s="92"/>
      <c r="I1724" s="92"/>
      <c r="J1724" s="92"/>
      <c r="K1724" s="92"/>
      <c r="L1724" s="92"/>
      <c r="M1724" s="92"/>
      <c r="N1724" s="92"/>
      <c r="O1724" s="92"/>
      <c r="P1724" s="92"/>
      <c r="Q1724" s="92"/>
      <c r="R1724" s="92"/>
      <c r="S1724" s="92"/>
      <c r="T1724" s="112"/>
      <c r="AM1724" s="525"/>
    </row>
    <row r="1725" spans="1:39" s="523" customFormat="1" ht="51.75" customHeight="1" thickBot="1" x14ac:dyDescent="0.45">
      <c r="A1725" s="253"/>
      <c r="C1725" s="82"/>
      <c r="D1725" s="82"/>
      <c r="E1725" s="526"/>
      <c r="F1725" s="265"/>
      <c r="G1725" s="489"/>
      <c r="H1725" s="489"/>
      <c r="I1725" s="489"/>
      <c r="J1725" s="489"/>
      <c r="K1725" s="489"/>
      <c r="L1725" s="489"/>
      <c r="M1725" s="489"/>
      <c r="N1725" s="489"/>
      <c r="O1725" s="489"/>
      <c r="P1725" s="489"/>
      <c r="Q1725" s="489"/>
      <c r="R1725" s="489"/>
      <c r="S1725" s="178">
        <f>SUM(S1719:S1724)</f>
        <v>90000</v>
      </c>
      <c r="T1725" s="178">
        <f>SUM(T1719:T1724)</f>
        <v>160000</v>
      </c>
      <c r="AM1725" s="525"/>
    </row>
    <row r="1726" spans="1:39" s="523" customFormat="1" ht="51.75" customHeight="1" x14ac:dyDescent="0.45">
      <c r="A1726" s="253"/>
      <c r="C1726" s="658"/>
      <c r="D1726" s="659"/>
      <c r="F1726" s="253"/>
      <c r="G1726" s="512"/>
      <c r="H1726" s="512"/>
      <c r="I1726" s="512"/>
      <c r="J1726" s="512"/>
      <c r="K1726" s="512"/>
      <c r="L1726" s="512"/>
      <c r="M1726" s="512"/>
      <c r="N1726" s="512"/>
      <c r="O1726" s="512"/>
      <c r="P1726" s="512"/>
      <c r="Q1726" s="512"/>
      <c r="R1726" s="512"/>
      <c r="S1726" s="269"/>
      <c r="T1726" s="269"/>
      <c r="AM1726" s="525"/>
    </row>
    <row r="1727" spans="1:39" s="523" customFormat="1" ht="51.75" customHeight="1" x14ac:dyDescent="0.45">
      <c r="A1727" s="253"/>
      <c r="C1727" s="658"/>
      <c r="D1727" s="659"/>
      <c r="F1727" s="253"/>
      <c r="G1727" s="512"/>
      <c r="H1727" s="512"/>
      <c r="I1727" s="512"/>
      <c r="J1727" s="512"/>
      <c r="K1727" s="512"/>
      <c r="L1727" s="512"/>
      <c r="M1727" s="512"/>
      <c r="N1727" s="512"/>
      <c r="O1727" s="512"/>
      <c r="P1727" s="512"/>
      <c r="Q1727" s="512"/>
      <c r="R1727" s="512"/>
      <c r="S1727" s="269"/>
      <c r="T1727" s="269"/>
      <c r="AM1727" s="525"/>
    </row>
    <row r="1728" spans="1:39" s="374" customFormat="1" ht="51.75" customHeight="1" x14ac:dyDescent="0.4">
      <c r="A1728" s="241" t="s">
        <v>6</v>
      </c>
      <c r="B1728" s="368" t="s">
        <v>7</v>
      </c>
      <c r="C1728" s="369" t="s">
        <v>8</v>
      </c>
      <c r="D1728" s="518" t="s">
        <v>231</v>
      </c>
      <c r="E1728" s="371" t="s">
        <v>10</v>
      </c>
      <c r="F1728" s="372" t="s">
        <v>11</v>
      </c>
      <c r="G1728" s="476" t="s">
        <v>12</v>
      </c>
      <c r="H1728" s="476" t="s">
        <v>13</v>
      </c>
      <c r="I1728" s="476" t="s">
        <v>14</v>
      </c>
      <c r="J1728" s="476" t="s">
        <v>15</v>
      </c>
      <c r="K1728" s="476" t="s">
        <v>16</v>
      </c>
      <c r="L1728" s="476" t="s">
        <v>17</v>
      </c>
      <c r="M1728" s="476" t="s">
        <v>18</v>
      </c>
      <c r="N1728" s="476" t="s">
        <v>19</v>
      </c>
      <c r="O1728" s="476" t="s">
        <v>20</v>
      </c>
      <c r="P1728" s="476" t="s">
        <v>21</v>
      </c>
      <c r="Q1728" s="476" t="s">
        <v>22</v>
      </c>
      <c r="R1728" s="476" t="s">
        <v>23</v>
      </c>
      <c r="S1728" s="20" t="s">
        <v>24</v>
      </c>
      <c r="T1728" s="20" t="s">
        <v>25</v>
      </c>
      <c r="AM1728" s="375"/>
    </row>
    <row r="1729" spans="1:39" ht="51.75" customHeight="1" x14ac:dyDescent="0.25">
      <c r="A1729" s="653">
        <v>2</v>
      </c>
      <c r="B1729" s="17"/>
      <c r="C1729" s="654" t="s">
        <v>449</v>
      </c>
      <c r="D1729" s="19"/>
      <c r="E1729" s="26">
        <v>2025</v>
      </c>
      <c r="F1729" s="27">
        <v>10000</v>
      </c>
      <c r="G1729" s="22">
        <v>60000</v>
      </c>
      <c r="H1729" s="22"/>
      <c r="I1729" s="22"/>
      <c r="J1729" s="22"/>
      <c r="K1729" s="22"/>
      <c r="L1729" s="22"/>
      <c r="M1729" s="22"/>
      <c r="N1729" s="22"/>
      <c r="O1729" s="22"/>
      <c r="P1729" s="22"/>
      <c r="Q1729" s="22"/>
      <c r="R1729" s="22"/>
      <c r="S1729" s="64">
        <f t="shared" ref="S1729:S1736" si="96">SUM(G1729:R1729)</f>
        <v>60000</v>
      </c>
      <c r="T1729" s="29">
        <f>SUM(F1729*IF(E1729=_current_year,_current_month,12)-(S1729))</f>
        <v>60000</v>
      </c>
    </row>
    <row r="1730" spans="1:39" ht="51.75" customHeight="1" x14ac:dyDescent="0.25">
      <c r="A1730" s="655"/>
      <c r="B1730" s="17"/>
      <c r="C1730" s="656"/>
      <c r="D1730" s="19"/>
      <c r="E1730" s="30">
        <v>2024</v>
      </c>
      <c r="F1730" s="27">
        <v>5000</v>
      </c>
      <c r="G1730" s="22">
        <v>30000</v>
      </c>
      <c r="H1730" s="22"/>
      <c r="I1730" s="22"/>
      <c r="J1730" s="22"/>
      <c r="K1730" s="22"/>
      <c r="L1730" s="22"/>
      <c r="M1730" s="22">
        <v>30000</v>
      </c>
      <c r="N1730" s="22"/>
      <c r="O1730" s="22"/>
      <c r="P1730" s="22"/>
      <c r="Q1730" s="22"/>
      <c r="R1730" s="22"/>
      <c r="S1730" s="37">
        <f t="shared" si="96"/>
        <v>60000</v>
      </c>
      <c r="T1730" s="22">
        <f>SUM(F1730*IF(E1730=_current_year,_current_month,12)-(S1730))</f>
        <v>0</v>
      </c>
    </row>
    <row r="1731" spans="1:39" ht="51.75" customHeight="1" x14ac:dyDescent="0.25">
      <c r="A1731" s="655"/>
      <c r="B1731" s="17"/>
      <c r="C1731" s="656"/>
      <c r="D1731" s="19"/>
      <c r="E1731" s="30">
        <v>2023</v>
      </c>
      <c r="F1731" s="27">
        <v>5000</v>
      </c>
      <c r="G1731" s="22">
        <v>30000</v>
      </c>
      <c r="H1731" s="22"/>
      <c r="I1731" s="22"/>
      <c r="J1731" s="22"/>
      <c r="K1731" s="22"/>
      <c r="L1731" s="22"/>
      <c r="M1731" s="22">
        <v>30000</v>
      </c>
      <c r="N1731" s="22"/>
      <c r="O1731" s="22"/>
      <c r="P1731" s="22"/>
      <c r="Q1731" s="22"/>
      <c r="R1731" s="22"/>
      <c r="S1731" s="37">
        <f t="shared" si="96"/>
        <v>60000</v>
      </c>
      <c r="T1731" s="22">
        <f>SUM(F1731*12)-(S1731)</f>
        <v>0</v>
      </c>
    </row>
    <row r="1732" spans="1:39" s="220" customFormat="1" ht="48" customHeight="1" x14ac:dyDescent="0.4">
      <c r="A1732" s="655"/>
      <c r="B1732" s="33" t="s">
        <v>28</v>
      </c>
      <c r="C1732" s="657"/>
      <c r="D1732" s="35"/>
      <c r="E1732" s="30">
        <v>2022</v>
      </c>
      <c r="F1732" s="251">
        <v>5000</v>
      </c>
      <c r="G1732" s="36">
        <v>30000</v>
      </c>
      <c r="H1732" s="36"/>
      <c r="I1732" s="36"/>
      <c r="J1732" s="36"/>
      <c r="K1732" s="36"/>
      <c r="L1732" s="36"/>
      <c r="M1732" s="36">
        <v>30000</v>
      </c>
      <c r="N1732" s="36"/>
      <c r="O1732" s="36"/>
      <c r="P1732" s="36"/>
      <c r="Q1732" s="36"/>
      <c r="R1732" s="36"/>
      <c r="S1732" s="37">
        <f t="shared" si="96"/>
        <v>60000</v>
      </c>
      <c r="T1732" s="257">
        <f>SUM(60000-S1732)</f>
        <v>0</v>
      </c>
      <c r="AM1732" s="250"/>
    </row>
    <row r="1733" spans="1:39" s="220" customFormat="1" ht="51.75" customHeight="1" x14ac:dyDescent="0.4">
      <c r="A1733" s="313" t="s">
        <v>445</v>
      </c>
      <c r="B1733" s="33" t="s">
        <v>28</v>
      </c>
      <c r="C1733" s="80" t="s">
        <v>52</v>
      </c>
      <c r="D1733" s="80"/>
      <c r="E1733" s="30">
        <v>2021</v>
      </c>
      <c r="F1733" s="251">
        <v>5000</v>
      </c>
      <c r="G1733" s="482">
        <v>30000</v>
      </c>
      <c r="H1733" s="482"/>
      <c r="I1733" s="482"/>
      <c r="J1733" s="482"/>
      <c r="K1733" s="482"/>
      <c r="L1733" s="482"/>
      <c r="M1733" s="482">
        <v>30000</v>
      </c>
      <c r="N1733" s="482"/>
      <c r="O1733" s="482"/>
      <c r="P1733" s="482"/>
      <c r="Q1733" s="482"/>
      <c r="R1733" s="482"/>
      <c r="S1733" s="252">
        <f t="shared" si="96"/>
        <v>60000</v>
      </c>
      <c r="T1733" s="252">
        <f>SUM(60000-S1733)</f>
        <v>0</v>
      </c>
      <c r="AM1733" s="250"/>
    </row>
    <row r="1734" spans="1:39" s="523" customFormat="1" ht="51.75" customHeight="1" x14ac:dyDescent="0.35">
      <c r="A1734" s="313"/>
      <c r="B1734" s="523" t="s">
        <v>28</v>
      </c>
      <c r="C1734" s="82"/>
      <c r="D1734" s="82"/>
      <c r="E1734" s="660">
        <v>2020</v>
      </c>
      <c r="F1734" s="251">
        <v>5000</v>
      </c>
      <c r="G1734" s="516">
        <v>15000</v>
      </c>
      <c r="H1734" s="516"/>
      <c r="I1734" s="516"/>
      <c r="J1734" s="516">
        <v>15000</v>
      </c>
      <c r="K1734" s="516"/>
      <c r="L1734" s="516"/>
      <c r="M1734" s="516">
        <v>30000</v>
      </c>
      <c r="N1734" s="516"/>
      <c r="O1734" s="516"/>
      <c r="P1734" s="516"/>
      <c r="Q1734" s="516"/>
      <c r="R1734" s="516"/>
      <c r="S1734" s="252">
        <f t="shared" si="96"/>
        <v>60000</v>
      </c>
      <c r="T1734" s="257">
        <f>SUM(60000-S1734)</f>
        <v>0</v>
      </c>
      <c r="AM1734" s="525"/>
    </row>
    <row r="1735" spans="1:39" s="523" customFormat="1" ht="51.75" customHeight="1" x14ac:dyDescent="0.35">
      <c r="A1735" s="661"/>
      <c r="C1735" s="82"/>
      <c r="D1735" s="82"/>
      <c r="E1735" s="660">
        <v>2019</v>
      </c>
      <c r="F1735" s="251">
        <v>5000</v>
      </c>
      <c r="G1735" s="514">
        <v>5000</v>
      </c>
      <c r="H1735" s="514">
        <v>5000</v>
      </c>
      <c r="I1735" s="514">
        <v>5000</v>
      </c>
      <c r="J1735" s="514">
        <v>5000</v>
      </c>
      <c r="K1735" s="514">
        <v>5000</v>
      </c>
      <c r="L1735" s="514">
        <v>5000</v>
      </c>
      <c r="M1735" s="514">
        <v>5000</v>
      </c>
      <c r="N1735" s="514">
        <v>5000</v>
      </c>
      <c r="O1735" s="514">
        <v>5000</v>
      </c>
      <c r="P1735" s="514">
        <v>5000</v>
      </c>
      <c r="Q1735" s="514">
        <v>5000</v>
      </c>
      <c r="R1735" s="514">
        <v>5000</v>
      </c>
      <c r="S1735" s="252">
        <f t="shared" si="96"/>
        <v>60000</v>
      </c>
      <c r="T1735" s="257">
        <f>SUM(60000-S1735)</f>
        <v>0</v>
      </c>
      <c r="AM1735" s="525"/>
    </row>
    <row r="1736" spans="1:39" s="523" customFormat="1" ht="51.75" customHeight="1" x14ac:dyDescent="0.4">
      <c r="A1736" s="309"/>
      <c r="C1736" s="82"/>
      <c r="D1736" s="82"/>
      <c r="E1736" s="660">
        <v>2018</v>
      </c>
      <c r="F1736" s="251">
        <v>5000</v>
      </c>
      <c r="G1736" s="514">
        <v>5000</v>
      </c>
      <c r="H1736" s="514">
        <v>5000</v>
      </c>
      <c r="I1736" s="514">
        <v>5000</v>
      </c>
      <c r="J1736" s="514">
        <v>5000</v>
      </c>
      <c r="K1736" s="514">
        <v>5000</v>
      </c>
      <c r="L1736" s="514">
        <v>5000</v>
      </c>
      <c r="M1736" s="514">
        <v>5000</v>
      </c>
      <c r="N1736" s="514">
        <v>5000</v>
      </c>
      <c r="O1736" s="514">
        <v>5000</v>
      </c>
      <c r="P1736" s="514">
        <v>5000</v>
      </c>
      <c r="Q1736" s="514">
        <v>5000</v>
      </c>
      <c r="R1736" s="514">
        <v>5000</v>
      </c>
      <c r="S1736" s="252">
        <f t="shared" si="96"/>
        <v>60000</v>
      </c>
      <c r="T1736" s="257">
        <f>SUM(60000-S1736)</f>
        <v>0</v>
      </c>
      <c r="AM1736" s="525"/>
    </row>
    <row r="1737" spans="1:39" s="523" customFormat="1" ht="51.75" customHeight="1" thickBot="1" x14ac:dyDescent="0.45">
      <c r="A1737" s="253"/>
      <c r="C1737" s="82"/>
      <c r="D1737" s="82"/>
      <c r="E1737" s="526"/>
      <c r="F1737" s="265"/>
      <c r="G1737" s="489"/>
      <c r="H1737" s="489"/>
      <c r="I1737" s="489"/>
      <c r="J1737" s="489"/>
      <c r="K1737" s="489"/>
      <c r="L1737" s="489"/>
      <c r="M1737" s="489"/>
      <c r="N1737" s="489"/>
      <c r="O1737" s="489"/>
      <c r="P1737" s="489"/>
      <c r="Q1737" s="489"/>
      <c r="R1737" s="489"/>
      <c r="S1737" s="178">
        <f>SUM(S1729:S1736)</f>
        <v>480000</v>
      </c>
      <c r="T1737" s="87">
        <f>SUM(T1729:T1736)</f>
        <v>60000</v>
      </c>
      <c r="AM1737" s="525"/>
    </row>
    <row r="1738" spans="1:39" s="523" customFormat="1" ht="51.75" customHeight="1" x14ac:dyDescent="0.45">
      <c r="A1738" s="253"/>
      <c r="C1738" s="658"/>
      <c r="D1738" s="659"/>
      <c r="F1738" s="253"/>
      <c r="G1738" s="512"/>
      <c r="H1738" s="512"/>
      <c r="I1738" s="512"/>
      <c r="J1738" s="512"/>
      <c r="K1738" s="512"/>
      <c r="L1738" s="512"/>
      <c r="M1738" s="512"/>
      <c r="N1738" s="512"/>
      <c r="O1738" s="512"/>
      <c r="P1738" s="512"/>
      <c r="Q1738" s="512"/>
      <c r="R1738" s="512"/>
      <c r="S1738" s="269"/>
      <c r="T1738" s="269"/>
      <c r="AM1738" s="525"/>
    </row>
    <row r="1739" spans="1:39" s="374" customFormat="1" ht="51.75" customHeight="1" x14ac:dyDescent="0.4">
      <c r="A1739" s="241" t="s">
        <v>6</v>
      </c>
      <c r="B1739" s="368" t="s">
        <v>7</v>
      </c>
      <c r="C1739" s="369" t="s">
        <v>8</v>
      </c>
      <c r="D1739" s="518" t="s">
        <v>231</v>
      </c>
      <c r="E1739" s="371" t="s">
        <v>10</v>
      </c>
      <c r="F1739" s="372" t="s">
        <v>11</v>
      </c>
      <c r="G1739" s="476" t="s">
        <v>12</v>
      </c>
      <c r="H1739" s="476" t="s">
        <v>13</v>
      </c>
      <c r="I1739" s="476" t="s">
        <v>14</v>
      </c>
      <c r="J1739" s="476" t="s">
        <v>15</v>
      </c>
      <c r="K1739" s="476" t="s">
        <v>16</v>
      </c>
      <c r="L1739" s="476" t="s">
        <v>17</v>
      </c>
      <c r="M1739" s="476" t="s">
        <v>18</v>
      </c>
      <c r="N1739" s="476" t="s">
        <v>19</v>
      </c>
      <c r="O1739" s="476" t="s">
        <v>20</v>
      </c>
      <c r="P1739" s="476" t="s">
        <v>21</v>
      </c>
      <c r="Q1739" s="476" t="s">
        <v>22</v>
      </c>
      <c r="R1739" s="476" t="s">
        <v>23</v>
      </c>
      <c r="S1739" s="20" t="s">
        <v>24</v>
      </c>
      <c r="T1739" s="20" t="s">
        <v>25</v>
      </c>
      <c r="AM1739" s="375"/>
    </row>
    <row r="1740" spans="1:39" ht="51.75" customHeight="1" x14ac:dyDescent="0.25">
      <c r="A1740" s="662" t="s">
        <v>323</v>
      </c>
      <c r="B1740" s="17"/>
      <c r="C1740" s="56" t="s">
        <v>450</v>
      </c>
      <c r="D1740" s="19"/>
      <c r="E1740" s="26">
        <v>2025</v>
      </c>
      <c r="F1740" s="27">
        <v>10000</v>
      </c>
      <c r="G1740" s="22"/>
      <c r="H1740" s="22"/>
      <c r="I1740" s="22"/>
      <c r="J1740" s="22"/>
      <c r="K1740" s="22"/>
      <c r="L1740" s="22"/>
      <c r="M1740" s="22"/>
      <c r="N1740" s="22"/>
      <c r="O1740" s="22"/>
      <c r="P1740" s="22"/>
      <c r="Q1740" s="22"/>
      <c r="R1740" s="22"/>
      <c r="S1740" s="64">
        <f t="shared" ref="S1740:S1745" si="97">SUM(G1740:R1740)</f>
        <v>0</v>
      </c>
      <c r="T1740" s="29">
        <f>SUM(F1740*IF(E1740=_current_year,_current_month,12)-(S1740))</f>
        <v>120000</v>
      </c>
    </row>
    <row r="1741" spans="1:39" ht="51.75" customHeight="1" x14ac:dyDescent="0.25">
      <c r="A1741" s="663"/>
      <c r="B1741" s="17"/>
      <c r="C1741" s="121"/>
      <c r="D1741" s="19"/>
      <c r="E1741" s="30">
        <v>2024</v>
      </c>
      <c r="F1741" s="27">
        <v>5000</v>
      </c>
      <c r="G1741" s="22"/>
      <c r="H1741" s="22"/>
      <c r="I1741" s="22"/>
      <c r="J1741" s="22"/>
      <c r="K1741" s="22"/>
      <c r="L1741" s="22"/>
      <c r="M1741" s="22"/>
      <c r="N1741" s="22"/>
      <c r="O1741" s="22"/>
      <c r="P1741" s="22"/>
      <c r="Q1741" s="22"/>
      <c r="R1741" s="22"/>
      <c r="S1741" s="37">
        <f t="shared" si="97"/>
        <v>0</v>
      </c>
      <c r="T1741" s="22">
        <f>SUM(F1741*IF(E1741=_current_year,_current_month,12)-(S1741))</f>
        <v>60000</v>
      </c>
    </row>
    <row r="1742" spans="1:39" ht="51.75" customHeight="1" x14ac:dyDescent="0.25">
      <c r="A1742" s="663"/>
      <c r="B1742" s="17"/>
      <c r="C1742" s="122"/>
      <c r="D1742" s="19"/>
      <c r="E1742" s="30">
        <v>2023</v>
      </c>
      <c r="F1742" s="27">
        <v>5000</v>
      </c>
      <c r="G1742" s="22"/>
      <c r="H1742" s="22"/>
      <c r="I1742" s="22"/>
      <c r="J1742" s="22"/>
      <c r="K1742" s="22"/>
      <c r="L1742" s="22"/>
      <c r="M1742" s="22"/>
      <c r="N1742" s="22"/>
      <c r="O1742" s="22"/>
      <c r="P1742" s="22"/>
      <c r="Q1742" s="22"/>
      <c r="R1742" s="22"/>
      <c r="S1742" s="37">
        <f t="shared" si="97"/>
        <v>0</v>
      </c>
      <c r="T1742" s="664">
        <f>SUM(F1742*IF(E1742=_current_year,_current_month,12)-(S1742))</f>
        <v>60000</v>
      </c>
    </row>
    <row r="1743" spans="1:39" s="220" customFormat="1" ht="48" customHeight="1" x14ac:dyDescent="0.4">
      <c r="A1743" s="663"/>
      <c r="B1743" s="33" t="s">
        <v>28</v>
      </c>
      <c r="C1743" s="665" t="s">
        <v>451</v>
      </c>
      <c r="D1743" s="35"/>
      <c r="E1743" s="666">
        <v>2022</v>
      </c>
      <c r="F1743" s="251">
        <v>5000</v>
      </c>
      <c r="G1743" s="667"/>
      <c r="H1743" s="667"/>
      <c r="I1743" s="667"/>
      <c r="J1743" s="667"/>
      <c r="K1743" s="667"/>
      <c r="L1743" s="667"/>
      <c r="M1743" s="667"/>
      <c r="N1743" s="667"/>
      <c r="O1743" s="667"/>
      <c r="P1743" s="667"/>
      <c r="Q1743" s="667"/>
      <c r="R1743" s="667"/>
      <c r="S1743" s="37">
        <f t="shared" si="97"/>
        <v>0</v>
      </c>
      <c r="T1743" s="668">
        <f>SUM(60000-S1743)</f>
        <v>60000</v>
      </c>
      <c r="AM1743" s="250"/>
    </row>
    <row r="1744" spans="1:39" s="220" customFormat="1" ht="60.6" customHeight="1" x14ac:dyDescent="0.4">
      <c r="A1744" s="313" t="s">
        <v>445</v>
      </c>
      <c r="B1744" s="33" t="s">
        <v>28</v>
      </c>
      <c r="C1744" s="38" t="s">
        <v>52</v>
      </c>
      <c r="D1744" s="124"/>
      <c r="E1744" s="666">
        <v>2021</v>
      </c>
      <c r="F1744" s="251">
        <v>5000</v>
      </c>
      <c r="G1744" s="667"/>
      <c r="H1744" s="667"/>
      <c r="I1744" s="667"/>
      <c r="J1744" s="667"/>
      <c r="K1744" s="667"/>
      <c r="L1744" s="667"/>
      <c r="M1744" s="667"/>
      <c r="N1744" s="667"/>
      <c r="O1744" s="667"/>
      <c r="P1744" s="667"/>
      <c r="Q1744" s="667"/>
      <c r="R1744" s="667"/>
      <c r="S1744" s="252">
        <f t="shared" si="97"/>
        <v>0</v>
      </c>
      <c r="T1744" s="664">
        <f>SUM(60000-S1744)</f>
        <v>60000</v>
      </c>
      <c r="AM1744" s="250"/>
    </row>
    <row r="1745" spans="1:39" s="523" customFormat="1" ht="66" customHeight="1" x14ac:dyDescent="0.35">
      <c r="A1745" s="313"/>
      <c r="B1745" s="523" t="s">
        <v>28</v>
      </c>
      <c r="C1745" s="125"/>
      <c r="D1745" s="126"/>
      <c r="E1745" s="669">
        <v>2020</v>
      </c>
      <c r="F1745" s="251">
        <v>5000</v>
      </c>
      <c r="G1745" s="670"/>
      <c r="H1745" s="670"/>
      <c r="I1745" s="670"/>
      <c r="J1745" s="670"/>
      <c r="K1745" s="670"/>
      <c r="L1745" s="670"/>
      <c r="M1745" s="670"/>
      <c r="N1745" s="670"/>
      <c r="O1745" s="670"/>
      <c r="P1745" s="670"/>
      <c r="Q1745" s="670"/>
      <c r="R1745" s="670"/>
      <c r="S1745" s="252">
        <f t="shared" si="97"/>
        <v>0</v>
      </c>
      <c r="T1745" s="257">
        <f>SUM(60000-S1745)</f>
        <v>60000</v>
      </c>
      <c r="AM1745" s="525"/>
    </row>
    <row r="1746" spans="1:39" s="523" customFormat="1" ht="51.75" customHeight="1" x14ac:dyDescent="0.35">
      <c r="A1746" s="671"/>
      <c r="C1746" s="125"/>
      <c r="D1746" s="126"/>
      <c r="E1746" s="669">
        <v>2019</v>
      </c>
      <c r="F1746" s="251">
        <v>5000</v>
      </c>
      <c r="G1746" s="672"/>
      <c r="H1746" s="673"/>
      <c r="I1746" s="673"/>
      <c r="J1746" s="673"/>
      <c r="K1746" s="673"/>
      <c r="L1746" s="673"/>
      <c r="M1746" s="673"/>
      <c r="N1746" s="674"/>
      <c r="O1746" s="675"/>
      <c r="P1746" s="670"/>
      <c r="Q1746" s="670"/>
      <c r="R1746" s="670"/>
      <c r="S1746" s="252">
        <f>SUM(O1746:R1746)</f>
        <v>0</v>
      </c>
      <c r="T1746" s="676">
        <f>SUM(20000-S1746)</f>
        <v>20000</v>
      </c>
      <c r="AM1746" s="525"/>
    </row>
    <row r="1747" spans="1:39" s="523" customFormat="1" ht="51.75" customHeight="1" thickBot="1" x14ac:dyDescent="0.45">
      <c r="A1747" s="253"/>
      <c r="C1747" s="658"/>
      <c r="D1747" s="659"/>
      <c r="E1747" s="677"/>
      <c r="F1747" s="265"/>
      <c r="G1747" s="678"/>
      <c r="H1747" s="678"/>
      <c r="I1747" s="678"/>
      <c r="J1747" s="678"/>
      <c r="K1747" s="678"/>
      <c r="L1747" s="678"/>
      <c r="M1747" s="678"/>
      <c r="N1747" s="678"/>
      <c r="O1747" s="678"/>
      <c r="P1747" s="678"/>
      <c r="Q1747" s="678"/>
      <c r="R1747" s="678"/>
      <c r="S1747" s="267">
        <f>SUM(S1740:S1746)</f>
        <v>0</v>
      </c>
      <c r="T1747" s="268">
        <f>SUM(T1740:T1746)</f>
        <v>440000</v>
      </c>
      <c r="AM1747" s="525"/>
    </row>
    <row r="1748" spans="1:39" s="523" customFormat="1" ht="51.75" customHeight="1" x14ac:dyDescent="0.45">
      <c r="A1748" s="253"/>
      <c r="C1748" s="658"/>
      <c r="D1748" s="659"/>
      <c r="F1748" s="253"/>
      <c r="G1748" s="512"/>
      <c r="H1748" s="512"/>
      <c r="I1748" s="512"/>
      <c r="J1748" s="512"/>
      <c r="K1748" s="512"/>
      <c r="L1748" s="512"/>
      <c r="M1748" s="512"/>
      <c r="N1748" s="512"/>
      <c r="O1748" s="512"/>
      <c r="P1748" s="512"/>
      <c r="Q1748" s="512"/>
      <c r="R1748" s="512"/>
      <c r="S1748" s="269"/>
      <c r="T1748" s="269"/>
      <c r="AM1748" s="525"/>
    </row>
    <row r="1749" spans="1:39" s="374" customFormat="1" ht="51.75" customHeight="1" x14ac:dyDescent="0.4">
      <c r="A1749" s="241" t="s">
        <v>6</v>
      </c>
      <c r="B1749" s="368" t="s">
        <v>7</v>
      </c>
      <c r="C1749" s="369" t="s">
        <v>8</v>
      </c>
      <c r="D1749" s="518" t="s">
        <v>231</v>
      </c>
      <c r="E1749" s="371" t="s">
        <v>10</v>
      </c>
      <c r="F1749" s="372" t="s">
        <v>11</v>
      </c>
      <c r="G1749" s="476" t="s">
        <v>12</v>
      </c>
      <c r="H1749" s="476" t="s">
        <v>13</v>
      </c>
      <c r="I1749" s="476" t="s">
        <v>14</v>
      </c>
      <c r="J1749" s="476" t="s">
        <v>15</v>
      </c>
      <c r="K1749" s="476" t="s">
        <v>16</v>
      </c>
      <c r="L1749" s="476" t="s">
        <v>17</v>
      </c>
      <c r="M1749" s="476" t="s">
        <v>18</v>
      </c>
      <c r="N1749" s="476" t="s">
        <v>19</v>
      </c>
      <c r="O1749" s="476" t="s">
        <v>20</v>
      </c>
      <c r="P1749" s="476" t="s">
        <v>21</v>
      </c>
      <c r="Q1749" s="476" t="s">
        <v>22</v>
      </c>
      <c r="R1749" s="476" t="s">
        <v>23</v>
      </c>
      <c r="S1749" s="20" t="s">
        <v>24</v>
      </c>
      <c r="T1749" s="20" t="s">
        <v>25</v>
      </c>
      <c r="AM1749" s="375"/>
    </row>
    <row r="1750" spans="1:39" ht="51.75" customHeight="1" x14ac:dyDescent="0.25">
      <c r="A1750" s="679"/>
      <c r="B1750" s="17"/>
      <c r="C1750" s="56" t="s">
        <v>450</v>
      </c>
      <c r="D1750" s="19"/>
      <c r="E1750" s="26">
        <v>2025</v>
      </c>
      <c r="F1750" s="27">
        <v>5000</v>
      </c>
      <c r="G1750" s="22"/>
      <c r="H1750" s="22"/>
      <c r="I1750" s="22"/>
      <c r="J1750" s="514"/>
      <c r="K1750" s="514"/>
      <c r="L1750" s="22"/>
      <c r="M1750" s="22"/>
      <c r="N1750" s="22"/>
      <c r="O1750" s="22"/>
      <c r="P1750" s="22"/>
      <c r="Q1750" s="22"/>
      <c r="R1750" s="22"/>
      <c r="S1750" s="64">
        <f>SUM(G1750:R1750)</f>
        <v>0</v>
      </c>
      <c r="T1750" s="29">
        <f>SUM(F1750*IF(E1750=_current_year,_current_month,12)-(S1750))</f>
        <v>60000</v>
      </c>
    </row>
    <row r="1751" spans="1:39" ht="51.75" customHeight="1" x14ac:dyDescent="0.25">
      <c r="A1751" s="679"/>
      <c r="B1751" s="17"/>
      <c r="C1751" s="122"/>
      <c r="D1751" s="19"/>
      <c r="E1751" s="30">
        <v>2024</v>
      </c>
      <c r="F1751" s="27">
        <v>3000</v>
      </c>
      <c r="G1751" s="22"/>
      <c r="H1751" s="22"/>
      <c r="I1751" s="22"/>
      <c r="J1751" s="675"/>
      <c r="K1751" s="514">
        <v>60000</v>
      </c>
      <c r="L1751" s="22"/>
      <c r="M1751" s="22"/>
      <c r="N1751" s="22"/>
      <c r="O1751" s="22"/>
      <c r="P1751" s="22"/>
      <c r="Q1751" s="22"/>
      <c r="R1751" s="22"/>
      <c r="S1751" s="37">
        <f>SUM(G1751:R1751)</f>
        <v>60000</v>
      </c>
      <c r="T1751" s="22">
        <f>SUM(F1751*IF(E1751=_current_year,_current_month,12)-(S1751))</f>
        <v>-24000</v>
      </c>
    </row>
    <row r="1752" spans="1:39" ht="51.75" customHeight="1" x14ac:dyDescent="0.25">
      <c r="A1752" s="662" t="s">
        <v>327</v>
      </c>
      <c r="B1752" s="17"/>
      <c r="C1752" s="162" t="s">
        <v>452</v>
      </c>
      <c r="D1752" s="19"/>
      <c r="E1752" s="73"/>
      <c r="F1752" s="74"/>
      <c r="G1752" s="74"/>
      <c r="H1752" s="74"/>
      <c r="I1752" s="74"/>
      <c r="J1752" s="74"/>
      <c r="K1752" s="74"/>
      <c r="L1752" s="74"/>
      <c r="M1752" s="74"/>
      <c r="N1752" s="74"/>
      <c r="O1752" s="74"/>
      <c r="P1752" s="74"/>
      <c r="Q1752" s="74"/>
      <c r="R1752" s="74"/>
      <c r="S1752" s="74"/>
      <c r="T1752" s="75"/>
    </row>
    <row r="1753" spans="1:39" s="220" customFormat="1" ht="13.35" customHeight="1" x14ac:dyDescent="0.4">
      <c r="A1753" s="663"/>
      <c r="B1753" s="33" t="s">
        <v>28</v>
      </c>
      <c r="C1753" s="38" t="s">
        <v>52</v>
      </c>
      <c r="D1753" s="58" t="s">
        <v>453</v>
      </c>
      <c r="E1753" s="77"/>
      <c r="F1753" s="78"/>
      <c r="G1753" s="78"/>
      <c r="H1753" s="78"/>
      <c r="I1753" s="78"/>
      <c r="J1753" s="78"/>
      <c r="K1753" s="78"/>
      <c r="L1753" s="78"/>
      <c r="M1753" s="78"/>
      <c r="N1753" s="78"/>
      <c r="O1753" s="78"/>
      <c r="P1753" s="78"/>
      <c r="Q1753" s="78"/>
      <c r="R1753" s="78"/>
      <c r="S1753" s="78"/>
      <c r="T1753" s="79"/>
      <c r="AM1753" s="250"/>
    </row>
    <row r="1754" spans="1:39" s="220" customFormat="1" ht="51.75" customHeight="1" x14ac:dyDescent="0.4">
      <c r="A1754" s="313" t="s">
        <v>445</v>
      </c>
      <c r="B1754" s="33" t="s">
        <v>28</v>
      </c>
      <c r="C1754" s="125"/>
      <c r="D1754" s="59"/>
      <c r="E1754" s="77"/>
      <c r="F1754" s="78"/>
      <c r="G1754" s="78"/>
      <c r="H1754" s="78"/>
      <c r="I1754" s="78"/>
      <c r="J1754" s="78"/>
      <c r="K1754" s="78"/>
      <c r="L1754" s="78"/>
      <c r="M1754" s="78"/>
      <c r="N1754" s="78"/>
      <c r="O1754" s="78"/>
      <c r="P1754" s="78"/>
      <c r="Q1754" s="78"/>
      <c r="R1754" s="78"/>
      <c r="S1754" s="78"/>
      <c r="T1754" s="79"/>
      <c r="AM1754" s="250"/>
    </row>
    <row r="1755" spans="1:39" s="523" customFormat="1" ht="10.35" customHeight="1" x14ac:dyDescent="0.35">
      <c r="A1755" s="313"/>
      <c r="B1755" s="523" t="s">
        <v>28</v>
      </c>
      <c r="C1755" s="457"/>
      <c r="D1755" s="61"/>
      <c r="E1755" s="77"/>
      <c r="F1755" s="78"/>
      <c r="G1755" s="78"/>
      <c r="H1755" s="78"/>
      <c r="I1755" s="78"/>
      <c r="J1755" s="78"/>
      <c r="K1755" s="78"/>
      <c r="L1755" s="78"/>
      <c r="M1755" s="78"/>
      <c r="N1755" s="78"/>
      <c r="O1755" s="78"/>
      <c r="P1755" s="78"/>
      <c r="Q1755" s="78"/>
      <c r="R1755" s="78"/>
      <c r="S1755" s="78"/>
      <c r="T1755" s="79"/>
      <c r="AM1755" s="525"/>
    </row>
    <row r="1756" spans="1:39" s="523" customFormat="1" ht="51.75" customHeight="1" thickBot="1" x14ac:dyDescent="0.45">
      <c r="A1756" s="253"/>
      <c r="C1756" s="658"/>
      <c r="D1756" s="659"/>
      <c r="E1756" s="677"/>
      <c r="F1756" s="265"/>
      <c r="G1756" s="678"/>
      <c r="H1756" s="678"/>
      <c r="I1756" s="678"/>
      <c r="J1756" s="678"/>
      <c r="K1756" s="678"/>
      <c r="L1756" s="678"/>
      <c r="M1756" s="678"/>
      <c r="N1756" s="678"/>
      <c r="O1756" s="678"/>
      <c r="P1756" s="678"/>
      <c r="Q1756" s="678"/>
      <c r="R1756" s="678"/>
      <c r="S1756" s="267">
        <f>SUM(S1752:S1755)</f>
        <v>0</v>
      </c>
      <c r="T1756" s="268">
        <f>SUM(T1750:T1755)</f>
        <v>36000</v>
      </c>
      <c r="AM1756" s="525"/>
    </row>
    <row r="1757" spans="1:39" s="523" customFormat="1" ht="51.75" customHeight="1" x14ac:dyDescent="0.45">
      <c r="A1757" s="253"/>
      <c r="C1757" s="658"/>
      <c r="D1757" s="659"/>
      <c r="F1757" s="253"/>
      <c r="G1757" s="512"/>
      <c r="H1757" s="512"/>
      <c r="I1757" s="512"/>
      <c r="J1757" s="512"/>
      <c r="K1757" s="512"/>
      <c r="L1757" s="512"/>
      <c r="M1757" s="512"/>
      <c r="N1757" s="512"/>
      <c r="O1757" s="512"/>
      <c r="P1757" s="512"/>
      <c r="Q1757" s="512"/>
      <c r="R1757" s="512"/>
      <c r="S1757" s="269"/>
      <c r="T1757" s="269"/>
      <c r="AM1757" s="525"/>
    </row>
    <row r="1758" spans="1:39" s="374" customFormat="1" ht="51.75" customHeight="1" x14ac:dyDescent="0.4">
      <c r="A1758" s="241" t="s">
        <v>6</v>
      </c>
      <c r="B1758" s="368" t="s">
        <v>7</v>
      </c>
      <c r="C1758" s="369" t="s">
        <v>8</v>
      </c>
      <c r="D1758" s="518" t="s">
        <v>231</v>
      </c>
      <c r="E1758" s="371" t="s">
        <v>10</v>
      </c>
      <c r="F1758" s="372" t="s">
        <v>11</v>
      </c>
      <c r="G1758" s="476" t="s">
        <v>12</v>
      </c>
      <c r="H1758" s="476" t="s">
        <v>13</v>
      </c>
      <c r="I1758" s="476" t="s">
        <v>14</v>
      </c>
      <c r="J1758" s="476" t="s">
        <v>15</v>
      </c>
      <c r="K1758" s="476" t="s">
        <v>16</v>
      </c>
      <c r="L1758" s="476" t="s">
        <v>17</v>
      </c>
      <c r="M1758" s="476" t="s">
        <v>18</v>
      </c>
      <c r="N1758" s="476" t="s">
        <v>19</v>
      </c>
      <c r="O1758" s="476" t="s">
        <v>20</v>
      </c>
      <c r="P1758" s="476" t="s">
        <v>21</v>
      </c>
      <c r="Q1758" s="476" t="s">
        <v>22</v>
      </c>
      <c r="R1758" s="476" t="s">
        <v>23</v>
      </c>
      <c r="S1758" s="20" t="s">
        <v>24</v>
      </c>
      <c r="T1758" s="20" t="s">
        <v>25</v>
      </c>
      <c r="AM1758" s="375"/>
    </row>
    <row r="1759" spans="1:39" ht="51.75" customHeight="1" x14ac:dyDescent="0.25">
      <c r="A1759" s="662" t="s">
        <v>454</v>
      </c>
      <c r="B1759" s="17"/>
      <c r="C1759" s="56" t="s">
        <v>450</v>
      </c>
      <c r="D1759" s="19"/>
      <c r="E1759" s="26">
        <v>2025</v>
      </c>
      <c r="F1759" s="251">
        <v>5000</v>
      </c>
      <c r="G1759" s="22"/>
      <c r="H1759" s="22"/>
      <c r="I1759" s="22"/>
      <c r="J1759" s="22"/>
      <c r="K1759" s="22"/>
      <c r="L1759" s="22"/>
      <c r="M1759" s="22"/>
      <c r="N1759" s="22"/>
      <c r="O1759" s="22"/>
      <c r="P1759" s="22"/>
      <c r="Q1759" s="22"/>
      <c r="R1759" s="22"/>
      <c r="S1759" s="64">
        <f t="shared" ref="S1759:S1764" si="98">SUM(G1759:R1759)</f>
        <v>0</v>
      </c>
      <c r="T1759" s="29">
        <f>SUM(F1759*IF(E1759=_current_year,_current_month,12)-(S1759))</f>
        <v>60000</v>
      </c>
    </row>
    <row r="1760" spans="1:39" ht="51.75" customHeight="1" x14ac:dyDescent="0.25">
      <c r="A1760" s="663"/>
      <c r="B1760" s="17"/>
      <c r="C1760" s="121"/>
      <c r="D1760" s="19"/>
      <c r="E1760" s="30">
        <v>2024</v>
      </c>
      <c r="F1760" s="251">
        <v>3000</v>
      </c>
      <c r="G1760" s="22"/>
      <c r="H1760" s="22"/>
      <c r="I1760" s="22"/>
      <c r="J1760" s="22"/>
      <c r="K1760" s="22"/>
      <c r="L1760" s="22"/>
      <c r="M1760" s="22"/>
      <c r="N1760" s="22"/>
      <c r="O1760" s="22"/>
      <c r="P1760" s="22"/>
      <c r="Q1760" s="22"/>
      <c r="R1760" s="22"/>
      <c r="S1760" s="37">
        <f t="shared" si="98"/>
        <v>0</v>
      </c>
      <c r="T1760" s="22">
        <f>SUM(F1760*IF(E1760=_current_year,_current_month,12)-(S1760))</f>
        <v>36000</v>
      </c>
    </row>
    <row r="1761" spans="1:39" ht="51.75" customHeight="1" x14ac:dyDescent="0.25">
      <c r="A1761" s="663"/>
      <c r="B1761" s="17"/>
      <c r="C1761" s="122"/>
      <c r="D1761" s="19"/>
      <c r="E1761" s="30">
        <v>2023</v>
      </c>
      <c r="F1761" s="251">
        <v>3000</v>
      </c>
      <c r="G1761" s="22"/>
      <c r="H1761" s="22"/>
      <c r="I1761" s="22"/>
      <c r="J1761" s="22"/>
      <c r="K1761" s="22"/>
      <c r="L1761" s="22"/>
      <c r="M1761" s="22"/>
      <c r="N1761" s="22"/>
      <c r="O1761" s="22"/>
      <c r="P1761" s="22"/>
      <c r="Q1761" s="22"/>
      <c r="R1761" s="22"/>
      <c r="S1761" s="37">
        <f t="shared" si="98"/>
        <v>0</v>
      </c>
      <c r="T1761" s="22">
        <f>SUM(F1761*IF(E1761=_current_year,_current_month,12)-(S1761))</f>
        <v>36000</v>
      </c>
    </row>
    <row r="1762" spans="1:39" s="220" customFormat="1" ht="48" customHeight="1" x14ac:dyDescent="0.4">
      <c r="A1762" s="663"/>
      <c r="B1762" s="33" t="s">
        <v>28</v>
      </c>
      <c r="C1762" s="680" t="s">
        <v>455</v>
      </c>
      <c r="D1762" s="35"/>
      <c r="E1762" s="666">
        <v>2022</v>
      </c>
      <c r="F1762" s="251">
        <v>3000</v>
      </c>
      <c r="G1762" s="667"/>
      <c r="H1762" s="667"/>
      <c r="I1762" s="667"/>
      <c r="J1762" s="667"/>
      <c r="K1762" s="667"/>
      <c r="L1762" s="667"/>
      <c r="M1762" s="667"/>
      <c r="N1762" s="667"/>
      <c r="O1762" s="667"/>
      <c r="P1762" s="667"/>
      <c r="Q1762" s="667"/>
      <c r="R1762" s="667"/>
      <c r="S1762" s="37">
        <f t="shared" si="98"/>
        <v>0</v>
      </c>
      <c r="T1762" s="37">
        <f>SUM(36000-S1762)</f>
        <v>36000</v>
      </c>
      <c r="AM1762" s="250"/>
    </row>
    <row r="1763" spans="1:39" s="220" customFormat="1" ht="51.75" customHeight="1" x14ac:dyDescent="0.4">
      <c r="A1763" s="313" t="s">
        <v>445</v>
      </c>
      <c r="B1763" s="33" t="s">
        <v>28</v>
      </c>
      <c r="C1763" s="38" t="s">
        <v>52</v>
      </c>
      <c r="D1763" s="124"/>
      <c r="E1763" s="666">
        <v>2021</v>
      </c>
      <c r="F1763" s="251">
        <v>3000</v>
      </c>
      <c r="G1763" s="667"/>
      <c r="H1763" s="667"/>
      <c r="I1763" s="667"/>
      <c r="J1763" s="667"/>
      <c r="K1763" s="667"/>
      <c r="L1763" s="667"/>
      <c r="M1763" s="667"/>
      <c r="N1763" s="667"/>
      <c r="O1763" s="667"/>
      <c r="P1763" s="667"/>
      <c r="Q1763" s="667"/>
      <c r="R1763" s="667"/>
      <c r="S1763" s="252">
        <f t="shared" si="98"/>
        <v>0</v>
      </c>
      <c r="T1763" s="37">
        <f>SUM(36000-S1763)</f>
        <v>36000</v>
      </c>
      <c r="AM1763" s="250"/>
    </row>
    <row r="1764" spans="1:39" s="523" customFormat="1" ht="66" customHeight="1" x14ac:dyDescent="0.35">
      <c r="A1764" s="313"/>
      <c r="B1764" s="523" t="s">
        <v>28</v>
      </c>
      <c r="C1764" s="125"/>
      <c r="D1764" s="126"/>
      <c r="E1764" s="669">
        <v>2020</v>
      </c>
      <c r="F1764" s="251">
        <v>3000</v>
      </c>
      <c r="G1764" s="681"/>
      <c r="H1764" s="682"/>
      <c r="I1764" s="682"/>
      <c r="J1764" s="682"/>
      <c r="K1764" s="682"/>
      <c r="L1764" s="682"/>
      <c r="M1764" s="682"/>
      <c r="N1764" s="683"/>
      <c r="O1764" s="675"/>
      <c r="P1764" s="670"/>
      <c r="Q1764" s="670"/>
      <c r="R1764" s="670"/>
      <c r="S1764" s="252">
        <f t="shared" si="98"/>
        <v>0</v>
      </c>
      <c r="T1764" s="257">
        <f>SUM(15000-S1764)</f>
        <v>15000</v>
      </c>
      <c r="AM1764" s="525"/>
    </row>
    <row r="1765" spans="1:39" s="523" customFormat="1" ht="51.75" customHeight="1" thickBot="1" x14ac:dyDescent="0.45">
      <c r="A1765" s="253"/>
      <c r="C1765" s="658"/>
      <c r="D1765" s="659"/>
      <c r="E1765" s="677"/>
      <c r="F1765" s="265"/>
      <c r="G1765" s="678"/>
      <c r="H1765" s="678"/>
      <c r="I1765" s="678"/>
      <c r="J1765" s="678"/>
      <c r="K1765" s="678"/>
      <c r="L1765" s="678"/>
      <c r="M1765" s="678"/>
      <c r="N1765" s="678"/>
      <c r="O1765" s="678"/>
      <c r="P1765" s="678"/>
      <c r="Q1765" s="678"/>
      <c r="R1765" s="678"/>
      <c r="S1765" s="267">
        <f>SUM(S1759:S1764)</f>
        <v>0</v>
      </c>
      <c r="T1765" s="268">
        <f>SUM(T1759:T1764)</f>
        <v>219000</v>
      </c>
      <c r="AM1765" s="525"/>
    </row>
    <row r="1766" spans="1:39" s="523" customFormat="1" ht="51.75" customHeight="1" x14ac:dyDescent="0.45">
      <c r="A1766" s="253"/>
      <c r="C1766" s="658"/>
      <c r="D1766" s="659"/>
      <c r="F1766" s="253"/>
      <c r="G1766" s="512"/>
      <c r="H1766" s="512"/>
      <c r="I1766" s="512"/>
      <c r="J1766" s="512"/>
      <c r="K1766" s="512"/>
      <c r="L1766" s="512"/>
      <c r="M1766" s="512"/>
      <c r="N1766" s="512"/>
      <c r="O1766" s="512"/>
      <c r="P1766" s="512"/>
      <c r="Q1766" s="512"/>
      <c r="R1766" s="512"/>
      <c r="S1766" s="269"/>
      <c r="T1766" s="269"/>
      <c r="AM1766" s="525"/>
    </row>
    <row r="1767" spans="1:39" s="374" customFormat="1" ht="51.75" customHeight="1" x14ac:dyDescent="0.4">
      <c r="A1767" s="241" t="s">
        <v>6</v>
      </c>
      <c r="B1767" s="368" t="s">
        <v>7</v>
      </c>
      <c r="C1767" s="369" t="s">
        <v>8</v>
      </c>
      <c r="D1767" s="518" t="s">
        <v>231</v>
      </c>
      <c r="E1767" s="371" t="s">
        <v>10</v>
      </c>
      <c r="F1767" s="372" t="s">
        <v>11</v>
      </c>
      <c r="G1767" s="476" t="s">
        <v>12</v>
      </c>
      <c r="H1767" s="476" t="s">
        <v>13</v>
      </c>
      <c r="I1767" s="476" t="s">
        <v>14</v>
      </c>
      <c r="J1767" s="476" t="s">
        <v>15</v>
      </c>
      <c r="K1767" s="476" t="s">
        <v>16</v>
      </c>
      <c r="L1767" s="476" t="s">
        <v>17</v>
      </c>
      <c r="M1767" s="476" t="s">
        <v>18</v>
      </c>
      <c r="N1767" s="476" t="s">
        <v>19</v>
      </c>
      <c r="O1767" s="476" t="s">
        <v>20</v>
      </c>
      <c r="P1767" s="476" t="s">
        <v>21</v>
      </c>
      <c r="Q1767" s="476" t="s">
        <v>22</v>
      </c>
      <c r="R1767" s="476" t="s">
        <v>23</v>
      </c>
      <c r="S1767" s="20" t="s">
        <v>24</v>
      </c>
      <c r="T1767" s="20" t="s">
        <v>25</v>
      </c>
      <c r="AM1767" s="375"/>
    </row>
    <row r="1768" spans="1:39" ht="51.75" customHeight="1" x14ac:dyDescent="0.25">
      <c r="A1768" s="653">
        <v>4</v>
      </c>
      <c r="B1768" s="17"/>
      <c r="C1768" s="519" t="s">
        <v>456</v>
      </c>
      <c r="D1768" s="19"/>
      <c r="E1768" s="26">
        <v>2025</v>
      </c>
      <c r="F1768" s="251">
        <v>5000</v>
      </c>
      <c r="G1768" s="22"/>
      <c r="H1768" s="22"/>
      <c r="I1768" s="22"/>
      <c r="J1768" s="22"/>
      <c r="K1768" s="22"/>
      <c r="L1768" s="22"/>
      <c r="M1768" s="22"/>
      <c r="N1768" s="22"/>
      <c r="O1768" s="22"/>
      <c r="P1768" s="22"/>
      <c r="Q1768" s="22"/>
      <c r="R1768" s="22"/>
      <c r="S1768" s="64">
        <f t="shared" ref="S1768:S1774" si="99">SUM(G1768:R1768)</f>
        <v>0</v>
      </c>
      <c r="T1768" s="29">
        <f>SUM(F1768*IF(E1768=_current_year,_current_month,12)-(S1768))</f>
        <v>60000</v>
      </c>
    </row>
    <row r="1769" spans="1:39" ht="51.75" customHeight="1" x14ac:dyDescent="0.25">
      <c r="A1769" s="655"/>
      <c r="B1769" s="17"/>
      <c r="C1769" s="684"/>
      <c r="D1769" s="19"/>
      <c r="E1769" s="30">
        <v>2024</v>
      </c>
      <c r="F1769" s="251">
        <v>3000</v>
      </c>
      <c r="G1769" s="22"/>
      <c r="H1769" s="22"/>
      <c r="I1769" s="22"/>
      <c r="J1769" s="22"/>
      <c r="K1769" s="22"/>
      <c r="L1769" s="22"/>
      <c r="M1769" s="22"/>
      <c r="N1769" s="22"/>
      <c r="O1769" s="22"/>
      <c r="P1769" s="22"/>
      <c r="Q1769" s="22"/>
      <c r="R1769" s="22"/>
      <c r="S1769" s="37">
        <f t="shared" si="99"/>
        <v>0</v>
      </c>
      <c r="T1769" s="22">
        <f>SUM(F1769*IF(E1769=_current_year,_current_month,12)-(S1769))</f>
        <v>36000</v>
      </c>
    </row>
    <row r="1770" spans="1:39" ht="51.75" customHeight="1" x14ac:dyDescent="0.25">
      <c r="A1770" s="655"/>
      <c r="B1770" s="17"/>
      <c r="C1770" s="520"/>
      <c r="D1770" s="19"/>
      <c r="E1770" s="30">
        <v>2023</v>
      </c>
      <c r="F1770" s="251">
        <v>3000</v>
      </c>
      <c r="G1770" s="22"/>
      <c r="H1770" s="22"/>
      <c r="I1770" s="22"/>
      <c r="J1770" s="22"/>
      <c r="K1770" s="22"/>
      <c r="L1770" s="22"/>
      <c r="M1770" s="22"/>
      <c r="N1770" s="22"/>
      <c r="O1770" s="22"/>
      <c r="P1770" s="22"/>
      <c r="Q1770" s="22"/>
      <c r="R1770" s="22"/>
      <c r="S1770" s="37">
        <f t="shared" si="99"/>
        <v>0</v>
      </c>
      <c r="T1770" s="22">
        <f>SUM(F1770*IF(E1770=_current_year,_current_month,12)-(S1770))</f>
        <v>36000</v>
      </c>
    </row>
    <row r="1771" spans="1:39" s="220" customFormat="1" ht="48" customHeight="1" x14ac:dyDescent="0.4">
      <c r="A1771" s="655"/>
      <c r="B1771" s="33" t="s">
        <v>28</v>
      </c>
      <c r="C1771" s="34"/>
      <c r="D1771" s="35"/>
      <c r="E1771" s="30">
        <v>2022</v>
      </c>
      <c r="F1771" s="251">
        <v>3000</v>
      </c>
      <c r="G1771" s="36"/>
      <c r="H1771" s="36"/>
      <c r="I1771" s="36"/>
      <c r="J1771" s="36"/>
      <c r="K1771" s="36"/>
      <c r="L1771" s="36"/>
      <c r="M1771" s="36"/>
      <c r="N1771" s="36"/>
      <c r="O1771" s="36"/>
      <c r="P1771" s="36"/>
      <c r="Q1771" s="36"/>
      <c r="R1771" s="36"/>
      <c r="S1771" s="37">
        <f t="shared" si="99"/>
        <v>0</v>
      </c>
      <c r="T1771" s="668">
        <f>SUM(36000-S1771)</f>
        <v>36000</v>
      </c>
      <c r="AM1771" s="250"/>
    </row>
    <row r="1772" spans="1:39" s="220" customFormat="1" ht="51.75" customHeight="1" x14ac:dyDescent="0.4">
      <c r="A1772" s="313" t="s">
        <v>445</v>
      </c>
      <c r="B1772" s="33" t="s">
        <v>28</v>
      </c>
      <c r="C1772" s="38" t="s">
        <v>52</v>
      </c>
      <c r="D1772" s="124"/>
      <c r="E1772" s="30">
        <v>2021</v>
      </c>
      <c r="F1772" s="251">
        <v>3000</v>
      </c>
      <c r="G1772" s="482"/>
      <c r="H1772" s="685"/>
      <c r="I1772" s="482"/>
      <c r="J1772" s="482"/>
      <c r="K1772" s="482"/>
      <c r="L1772" s="482"/>
      <c r="M1772" s="482"/>
      <c r="N1772" s="482"/>
      <c r="O1772" s="482"/>
      <c r="P1772" s="482"/>
      <c r="Q1772" s="482"/>
      <c r="R1772" s="482"/>
      <c r="S1772" s="252">
        <f t="shared" si="99"/>
        <v>0</v>
      </c>
      <c r="T1772" s="252">
        <f>SUM(36000-S1772)</f>
        <v>36000</v>
      </c>
      <c r="AM1772" s="250"/>
    </row>
    <row r="1773" spans="1:39" s="523" customFormat="1" ht="51.75" customHeight="1" x14ac:dyDescent="0.35">
      <c r="A1773" s="313"/>
      <c r="B1773" s="523" t="s">
        <v>28</v>
      </c>
      <c r="C1773" s="125"/>
      <c r="D1773" s="126"/>
      <c r="E1773" s="660">
        <v>2020</v>
      </c>
      <c r="F1773" s="251">
        <v>3000</v>
      </c>
      <c r="G1773" s="516"/>
      <c r="H1773" s="516"/>
      <c r="I1773" s="516"/>
      <c r="J1773" s="516"/>
      <c r="K1773" s="516"/>
      <c r="L1773" s="516"/>
      <c r="M1773" s="516"/>
      <c r="N1773" s="516">
        <v>57000</v>
      </c>
      <c r="O1773" s="516"/>
      <c r="P1773" s="516"/>
      <c r="Q1773" s="516"/>
      <c r="R1773" s="516"/>
      <c r="S1773" s="252">
        <f t="shared" si="99"/>
        <v>57000</v>
      </c>
      <c r="T1773" s="257">
        <f>SUM(36000-S1773)</f>
        <v>-21000</v>
      </c>
      <c r="AM1773" s="525"/>
    </row>
    <row r="1774" spans="1:39" s="523" customFormat="1" ht="51.75" customHeight="1" x14ac:dyDescent="0.35">
      <c r="A1774" s="661"/>
      <c r="C1774" s="125"/>
      <c r="D1774" s="126"/>
      <c r="E1774" s="660">
        <v>2019</v>
      </c>
      <c r="F1774" s="251">
        <v>3000</v>
      </c>
      <c r="G1774" s="514">
        <v>3000</v>
      </c>
      <c r="H1774" s="514">
        <v>3000</v>
      </c>
      <c r="I1774" s="514">
        <v>3000</v>
      </c>
      <c r="J1774" s="514">
        <v>3000</v>
      </c>
      <c r="K1774" s="514">
        <v>3000</v>
      </c>
      <c r="L1774" s="535"/>
      <c r="M1774" s="535"/>
      <c r="N1774" s="535"/>
      <c r="O1774" s="535"/>
      <c r="P1774" s="516"/>
      <c r="Q1774" s="516"/>
      <c r="R1774" s="516"/>
      <c r="S1774" s="252">
        <f t="shared" si="99"/>
        <v>15000</v>
      </c>
      <c r="T1774" s="257">
        <f>SUM(36000-S1774)</f>
        <v>21000</v>
      </c>
      <c r="AM1774" s="525"/>
    </row>
    <row r="1775" spans="1:39" s="523" customFormat="1" ht="51.75" customHeight="1" x14ac:dyDescent="0.4">
      <c r="A1775" s="309"/>
      <c r="C1775" s="125"/>
      <c r="D1775" s="126"/>
      <c r="E1775" s="660">
        <v>2018</v>
      </c>
      <c r="F1775" s="251">
        <v>3000</v>
      </c>
      <c r="G1775" s="535"/>
      <c r="H1775" s="535"/>
      <c r="I1775" s="535"/>
      <c r="J1775" s="535"/>
      <c r="K1775" s="535"/>
      <c r="L1775" s="535"/>
      <c r="M1775" s="514">
        <v>3000</v>
      </c>
      <c r="N1775" s="514">
        <v>3000</v>
      </c>
      <c r="O1775" s="514">
        <v>3000</v>
      </c>
      <c r="P1775" s="514">
        <v>3000</v>
      </c>
      <c r="Q1775" s="514">
        <v>3000</v>
      </c>
      <c r="R1775" s="514">
        <v>3000</v>
      </c>
      <c r="S1775" s="252">
        <f>SUM(M1775:R1775)</f>
        <v>18000</v>
      </c>
      <c r="T1775" s="257">
        <f>SUM(18000-S1775)</f>
        <v>0</v>
      </c>
      <c r="AM1775" s="525"/>
    </row>
    <row r="1776" spans="1:39" s="523" customFormat="1" ht="51.75" customHeight="1" thickBot="1" x14ac:dyDescent="0.45">
      <c r="A1776" s="253"/>
      <c r="C1776" s="658"/>
      <c r="D1776" s="659"/>
      <c r="E1776" s="526"/>
      <c r="F1776" s="265"/>
      <c r="G1776" s="489"/>
      <c r="H1776" s="489"/>
      <c r="I1776" s="489"/>
      <c r="J1776" s="489"/>
      <c r="K1776" s="489"/>
      <c r="L1776" s="489"/>
      <c r="M1776" s="489"/>
      <c r="N1776" s="489"/>
      <c r="O1776" s="489"/>
      <c r="P1776" s="489"/>
      <c r="Q1776" s="489"/>
      <c r="R1776" s="489"/>
      <c r="S1776" s="178">
        <f>SUM(S1768:S1775)</f>
        <v>90000</v>
      </c>
      <c r="T1776" s="87">
        <f>SUM(T1768:T1775)</f>
        <v>204000</v>
      </c>
      <c r="AM1776" s="525"/>
    </row>
    <row r="1777" spans="1:39" s="523" customFormat="1" ht="51.75" customHeight="1" x14ac:dyDescent="0.45">
      <c r="A1777" s="253"/>
      <c r="C1777" s="658"/>
      <c r="D1777" s="659"/>
      <c r="F1777" s="253"/>
      <c r="G1777" s="512"/>
      <c r="H1777" s="512"/>
      <c r="I1777" s="512"/>
      <c r="J1777" s="512"/>
      <c r="K1777" s="512"/>
      <c r="L1777" s="512"/>
      <c r="M1777" s="512"/>
      <c r="N1777" s="512"/>
      <c r="O1777" s="512"/>
      <c r="P1777" s="512"/>
      <c r="Q1777" s="512"/>
      <c r="R1777" s="512"/>
      <c r="S1777" s="269"/>
      <c r="T1777" s="269"/>
      <c r="AM1777" s="525"/>
    </row>
    <row r="1778" spans="1:39" s="523" customFormat="1" ht="51.75" customHeight="1" x14ac:dyDescent="0.45">
      <c r="A1778" s="253"/>
      <c r="C1778" s="658"/>
      <c r="D1778" s="659"/>
      <c r="F1778" s="253"/>
      <c r="G1778" s="512"/>
      <c r="H1778" s="512"/>
      <c r="I1778" s="512"/>
      <c r="J1778" s="512"/>
      <c r="K1778" s="512"/>
      <c r="L1778" s="512"/>
      <c r="M1778" s="512"/>
      <c r="N1778" s="512"/>
      <c r="O1778" s="512"/>
      <c r="P1778" s="512"/>
      <c r="Q1778" s="512"/>
      <c r="R1778" s="512"/>
      <c r="S1778" s="269"/>
      <c r="T1778" s="269"/>
      <c r="AM1778" s="525"/>
    </row>
    <row r="1779" spans="1:39" s="523" customFormat="1" ht="51.75" customHeight="1" x14ac:dyDescent="0.45">
      <c r="A1779" s="253"/>
      <c r="C1779" s="658"/>
      <c r="D1779" s="659"/>
      <c r="F1779" s="253"/>
      <c r="G1779" s="512"/>
      <c r="H1779" s="512"/>
      <c r="I1779" s="512"/>
      <c r="J1779" s="512"/>
      <c r="K1779" s="512"/>
      <c r="L1779" s="512"/>
      <c r="M1779" s="512"/>
      <c r="N1779" s="512"/>
      <c r="O1779" s="512"/>
      <c r="P1779" s="512"/>
      <c r="Q1779" s="512"/>
      <c r="R1779" s="512"/>
      <c r="S1779" s="269"/>
      <c r="T1779" s="269"/>
      <c r="AM1779" s="525"/>
    </row>
    <row r="1780" spans="1:39" s="523" customFormat="1" ht="51.75" customHeight="1" x14ac:dyDescent="0.45">
      <c r="A1780" s="253"/>
      <c r="C1780" s="658"/>
      <c r="D1780" s="659"/>
      <c r="F1780" s="253"/>
      <c r="G1780" s="512"/>
      <c r="H1780" s="512"/>
      <c r="I1780" s="512"/>
      <c r="J1780" s="512"/>
      <c r="K1780" s="512"/>
      <c r="L1780" s="512"/>
      <c r="M1780" s="512"/>
      <c r="N1780" s="512"/>
      <c r="O1780" s="512"/>
      <c r="P1780" s="512"/>
      <c r="Q1780" s="512"/>
      <c r="R1780" s="512"/>
      <c r="S1780" s="269"/>
      <c r="T1780" s="269"/>
      <c r="AM1780" s="525"/>
    </row>
    <row r="1781" spans="1:39" s="523" customFormat="1" ht="51.75" customHeight="1" x14ac:dyDescent="0.45">
      <c r="A1781" s="253"/>
      <c r="C1781" s="658"/>
      <c r="D1781" s="659"/>
      <c r="F1781" s="253"/>
      <c r="G1781" s="512"/>
      <c r="H1781" s="512"/>
      <c r="I1781" s="512"/>
      <c r="J1781" s="512"/>
      <c r="K1781" s="512"/>
      <c r="L1781" s="512"/>
      <c r="M1781" s="512"/>
      <c r="N1781" s="512"/>
      <c r="O1781" s="512"/>
      <c r="P1781" s="512"/>
      <c r="Q1781" s="512"/>
      <c r="R1781" s="512"/>
      <c r="S1781" s="269"/>
      <c r="T1781" s="269"/>
      <c r="AM1781" s="525"/>
    </row>
    <row r="1782" spans="1:39" s="523" customFormat="1" ht="51.75" customHeight="1" x14ac:dyDescent="0.45">
      <c r="A1782" s="253"/>
      <c r="C1782" s="658"/>
      <c r="D1782" s="659"/>
      <c r="F1782" s="253"/>
      <c r="G1782" s="512"/>
      <c r="H1782" s="512"/>
      <c r="I1782" s="512"/>
      <c r="J1782" s="512"/>
      <c r="K1782" s="512"/>
      <c r="L1782" s="512"/>
      <c r="M1782" s="512"/>
      <c r="N1782" s="512"/>
      <c r="O1782" s="512"/>
      <c r="P1782" s="512"/>
      <c r="Q1782" s="512"/>
      <c r="R1782" s="512"/>
      <c r="S1782" s="269"/>
      <c r="T1782" s="269"/>
      <c r="AM1782" s="525"/>
    </row>
    <row r="1783" spans="1:39" s="374" customFormat="1" ht="51.75" customHeight="1" x14ac:dyDescent="0.4">
      <c r="A1783" s="241" t="s">
        <v>6</v>
      </c>
      <c r="B1783" s="368" t="s">
        <v>7</v>
      </c>
      <c r="C1783" s="369" t="s">
        <v>8</v>
      </c>
      <c r="D1783" s="518" t="s">
        <v>231</v>
      </c>
      <c r="E1783" s="371" t="s">
        <v>10</v>
      </c>
      <c r="F1783" s="372" t="s">
        <v>11</v>
      </c>
      <c r="G1783" s="476" t="s">
        <v>12</v>
      </c>
      <c r="H1783" s="476" t="s">
        <v>13</v>
      </c>
      <c r="I1783" s="476" t="s">
        <v>14</v>
      </c>
      <c r="J1783" s="476" t="s">
        <v>15</v>
      </c>
      <c r="K1783" s="476" t="s">
        <v>16</v>
      </c>
      <c r="L1783" s="476" t="s">
        <v>17</v>
      </c>
      <c r="M1783" s="476" t="s">
        <v>18</v>
      </c>
      <c r="N1783" s="476" t="s">
        <v>19</v>
      </c>
      <c r="O1783" s="476" t="s">
        <v>20</v>
      </c>
      <c r="P1783" s="476" t="s">
        <v>21</v>
      </c>
      <c r="Q1783" s="476" t="s">
        <v>22</v>
      </c>
      <c r="R1783" s="476" t="s">
        <v>23</v>
      </c>
      <c r="S1783" s="20" t="s">
        <v>24</v>
      </c>
      <c r="T1783" s="20" t="s">
        <v>25</v>
      </c>
      <c r="AM1783" s="375"/>
    </row>
    <row r="1784" spans="1:39" ht="51.75" customHeight="1" x14ac:dyDescent="0.25">
      <c r="A1784" s="653">
        <v>5</v>
      </c>
      <c r="B1784" s="17"/>
      <c r="C1784" s="686" t="s">
        <v>457</v>
      </c>
      <c r="D1784" s="19"/>
      <c r="E1784" s="26">
        <v>2025</v>
      </c>
      <c r="F1784" s="27">
        <v>10000</v>
      </c>
      <c r="G1784" s="22"/>
      <c r="H1784" s="22">
        <v>120000</v>
      </c>
      <c r="I1784" s="22"/>
      <c r="J1784" s="22"/>
      <c r="K1784" s="22"/>
      <c r="L1784" s="22"/>
      <c r="M1784" s="22"/>
      <c r="N1784" s="22"/>
      <c r="O1784" s="22"/>
      <c r="P1784" s="22"/>
      <c r="Q1784" s="22"/>
      <c r="R1784" s="22"/>
      <c r="S1784" s="64">
        <f>SUM(G1784:R1784)</f>
        <v>120000</v>
      </c>
      <c r="T1784" s="29">
        <f>SUM(F1784*IF(E1784=_current_year,_current_month,12)-(S1784))</f>
        <v>0</v>
      </c>
    </row>
    <row r="1785" spans="1:39" ht="51.75" customHeight="1" x14ac:dyDescent="0.25">
      <c r="A1785" s="655"/>
      <c r="B1785" s="17"/>
      <c r="C1785" s="686"/>
      <c r="D1785" s="19"/>
      <c r="E1785" s="30">
        <v>2024</v>
      </c>
      <c r="F1785" s="27">
        <v>5000</v>
      </c>
      <c r="G1785" s="22"/>
      <c r="H1785" s="22"/>
      <c r="I1785" s="22"/>
      <c r="J1785" s="22">
        <v>35000</v>
      </c>
      <c r="K1785" s="22"/>
      <c r="L1785" s="22"/>
      <c r="M1785" s="22">
        <v>15000</v>
      </c>
      <c r="N1785" s="22"/>
      <c r="O1785" s="22">
        <v>25000</v>
      </c>
      <c r="P1785" s="22"/>
      <c r="Q1785" s="22"/>
      <c r="R1785" s="22"/>
      <c r="S1785" s="37">
        <f>SUM(G1785:R1785)</f>
        <v>75000</v>
      </c>
      <c r="T1785" s="22">
        <f>SUM(F1785*IF(E1785=_current_year,_current_month,12)-(S1785))</f>
        <v>-15000</v>
      </c>
    </row>
    <row r="1786" spans="1:39" ht="51.75" customHeight="1" x14ac:dyDescent="0.25">
      <c r="A1786" s="655"/>
      <c r="B1786" s="17"/>
      <c r="C1786" s="687" t="s">
        <v>458</v>
      </c>
      <c r="D1786" s="19"/>
      <c r="E1786" s="30">
        <v>2023</v>
      </c>
      <c r="F1786" s="27">
        <v>5000</v>
      </c>
      <c r="G1786" s="22"/>
      <c r="H1786" s="22">
        <v>10000</v>
      </c>
      <c r="I1786" s="22"/>
      <c r="J1786" s="22">
        <v>10000</v>
      </c>
      <c r="K1786" s="22"/>
      <c r="L1786" s="22"/>
      <c r="M1786" s="22">
        <v>15000</v>
      </c>
      <c r="N1786" s="22"/>
      <c r="O1786" s="22">
        <v>0</v>
      </c>
      <c r="P1786" s="22"/>
      <c r="Q1786" s="22">
        <v>20000</v>
      </c>
      <c r="R1786" s="22"/>
      <c r="S1786" s="37">
        <f>SUM(G1786:R1786)</f>
        <v>55000</v>
      </c>
      <c r="T1786" s="22">
        <f>SUM(F1786*IF(E1786=_current_year,_current_month,12)-(S1786))</f>
        <v>5000</v>
      </c>
    </row>
    <row r="1787" spans="1:39" s="220" customFormat="1" ht="48" customHeight="1" x14ac:dyDescent="0.4">
      <c r="A1787" s="655"/>
      <c r="B1787" s="33" t="s">
        <v>28</v>
      </c>
      <c r="C1787" s="463" t="s">
        <v>458</v>
      </c>
      <c r="D1787" s="35"/>
      <c r="E1787" s="30">
        <v>2022</v>
      </c>
      <c r="F1787" s="251">
        <v>5000</v>
      </c>
      <c r="G1787" s="36"/>
      <c r="H1787" s="36"/>
      <c r="I1787" s="36"/>
      <c r="J1787" s="36"/>
      <c r="K1787" s="36"/>
      <c r="L1787" s="36"/>
      <c r="M1787" s="36"/>
      <c r="N1787" s="36"/>
      <c r="O1787" s="36"/>
      <c r="P1787" s="36"/>
      <c r="Q1787" s="36">
        <v>15000</v>
      </c>
      <c r="R1787" s="36"/>
      <c r="S1787" s="37">
        <f>SUM(G1787:R1787)</f>
        <v>15000</v>
      </c>
      <c r="T1787" s="668">
        <f>SUM(60000-S1787)</f>
        <v>45000</v>
      </c>
      <c r="AM1787" s="250"/>
    </row>
    <row r="1788" spans="1:39" s="220" customFormat="1" ht="51.75" customHeight="1" x14ac:dyDescent="0.4">
      <c r="A1788" s="313" t="s">
        <v>445</v>
      </c>
      <c r="B1788" s="33" t="s">
        <v>28</v>
      </c>
      <c r="C1788" s="38" t="s">
        <v>52</v>
      </c>
      <c r="D1788" s="124"/>
      <c r="E1788" s="30">
        <v>2021</v>
      </c>
      <c r="F1788" s="251">
        <v>5000</v>
      </c>
      <c r="G1788" s="516"/>
      <c r="H1788" s="482"/>
      <c r="I1788" s="482"/>
      <c r="J1788" s="482"/>
      <c r="K1788" s="482"/>
      <c r="L1788" s="482"/>
      <c r="M1788" s="482"/>
      <c r="N1788" s="482"/>
      <c r="O1788" s="688">
        <v>50000</v>
      </c>
      <c r="P1788" s="482"/>
      <c r="Q1788" s="482"/>
      <c r="R1788" s="482"/>
      <c r="S1788" s="22">
        <f>SUM(G1788:R1788)</f>
        <v>50000</v>
      </c>
      <c r="T1788" s="252">
        <f>SUM(15000-S1788)</f>
        <v>-35000</v>
      </c>
      <c r="AM1788" s="250"/>
    </row>
    <row r="1789" spans="1:39" s="523" customFormat="1" ht="51.75" customHeight="1" x14ac:dyDescent="0.35">
      <c r="A1789" s="313"/>
      <c r="B1789" s="523" t="s">
        <v>28</v>
      </c>
      <c r="C1789" s="125"/>
      <c r="D1789" s="126"/>
      <c r="E1789" s="689" t="s">
        <v>459</v>
      </c>
      <c r="F1789" s="690"/>
      <c r="G1789" s="690"/>
      <c r="H1789" s="690"/>
      <c r="I1789" s="690"/>
      <c r="J1789" s="690"/>
      <c r="K1789" s="690"/>
      <c r="L1789" s="690"/>
      <c r="M1789" s="690"/>
      <c r="N1789" s="690"/>
      <c r="O1789" s="690"/>
      <c r="P1789" s="690"/>
      <c r="Q1789" s="690"/>
      <c r="R1789" s="690"/>
      <c r="S1789" s="690"/>
      <c r="T1789" s="690"/>
      <c r="AM1789" s="525"/>
    </row>
    <row r="1790" spans="1:39" s="523" customFormat="1" ht="51.75" customHeight="1" x14ac:dyDescent="0.35">
      <c r="A1790" s="661"/>
      <c r="C1790" s="125"/>
      <c r="D1790" s="126"/>
      <c r="E1790" s="691"/>
      <c r="F1790" s="692"/>
      <c r="G1790" s="692"/>
      <c r="H1790" s="692"/>
      <c r="I1790" s="692"/>
      <c r="J1790" s="692"/>
      <c r="K1790" s="692"/>
      <c r="L1790" s="692"/>
      <c r="M1790" s="692"/>
      <c r="N1790" s="692"/>
      <c r="O1790" s="692"/>
      <c r="P1790" s="692"/>
      <c r="Q1790" s="692"/>
      <c r="R1790" s="692"/>
      <c r="S1790" s="692"/>
      <c r="T1790" s="692"/>
      <c r="AM1790" s="525"/>
    </row>
    <row r="1791" spans="1:39" s="523" customFormat="1" ht="51.75" customHeight="1" x14ac:dyDescent="0.4">
      <c r="A1791" s="317"/>
      <c r="C1791" s="129"/>
      <c r="D1791" s="130"/>
      <c r="E1791" s="691"/>
      <c r="F1791" s="692"/>
      <c r="G1791" s="692"/>
      <c r="H1791" s="692"/>
      <c r="I1791" s="692"/>
      <c r="J1791" s="692"/>
      <c r="K1791" s="692"/>
      <c r="L1791" s="692"/>
      <c r="M1791" s="692"/>
      <c r="N1791" s="692"/>
      <c r="O1791" s="692"/>
      <c r="P1791" s="692"/>
      <c r="Q1791" s="692"/>
      <c r="R1791" s="692"/>
      <c r="S1791" s="692"/>
      <c r="T1791" s="692"/>
      <c r="AM1791" s="525"/>
    </row>
    <row r="1792" spans="1:39" s="523" customFormat="1" ht="51.75" customHeight="1" thickBot="1" x14ac:dyDescent="0.45">
      <c r="A1792" s="253"/>
      <c r="C1792" s="658"/>
      <c r="D1792" s="659"/>
      <c r="E1792" s="526"/>
      <c r="F1792" s="265"/>
      <c r="G1792" s="489"/>
      <c r="H1792" s="489"/>
      <c r="I1792" s="489"/>
      <c r="J1792" s="489"/>
      <c r="K1792" s="489"/>
      <c r="L1792" s="489"/>
      <c r="M1792" s="489"/>
      <c r="N1792" s="489"/>
      <c r="O1792" s="489"/>
      <c r="P1792" s="489"/>
      <c r="Q1792" s="489"/>
      <c r="R1792" s="489"/>
      <c r="S1792" s="178">
        <f>SUM(S1784:S1791)</f>
        <v>315000</v>
      </c>
      <c r="T1792" s="87">
        <f>SUM(T1784:T1791)</f>
        <v>0</v>
      </c>
      <c r="AM1792" s="525"/>
    </row>
    <row r="1793" spans="1:39" s="523" customFormat="1" ht="51.75" customHeight="1" x14ac:dyDescent="0.45">
      <c r="A1793" s="253"/>
      <c r="C1793" s="658"/>
      <c r="D1793" s="659"/>
      <c r="F1793" s="253"/>
      <c r="G1793" s="512"/>
      <c r="H1793" s="512"/>
      <c r="I1793" s="512"/>
      <c r="J1793" s="512"/>
      <c r="K1793" s="512"/>
      <c r="L1793" s="512"/>
      <c r="M1793" s="512"/>
      <c r="N1793" s="512"/>
      <c r="O1793" s="512"/>
      <c r="P1793" s="512"/>
      <c r="Q1793" s="512"/>
      <c r="R1793" s="512"/>
      <c r="S1793" s="269"/>
      <c r="T1793" s="269"/>
      <c r="AM1793" s="525"/>
    </row>
    <row r="1794" spans="1:39" s="374" customFormat="1" ht="51.75" customHeight="1" x14ac:dyDescent="0.4">
      <c r="A1794" s="241" t="s">
        <v>6</v>
      </c>
      <c r="B1794" s="368" t="s">
        <v>7</v>
      </c>
      <c r="C1794" s="369" t="s">
        <v>8</v>
      </c>
      <c r="D1794" s="518" t="s">
        <v>231</v>
      </c>
      <c r="E1794" s="371" t="s">
        <v>10</v>
      </c>
      <c r="F1794" s="372" t="s">
        <v>11</v>
      </c>
      <c r="G1794" s="476" t="s">
        <v>12</v>
      </c>
      <c r="H1794" s="476" t="s">
        <v>13</v>
      </c>
      <c r="I1794" s="476" t="s">
        <v>14</v>
      </c>
      <c r="J1794" s="476" t="s">
        <v>15</v>
      </c>
      <c r="K1794" s="476" t="s">
        <v>16</v>
      </c>
      <c r="L1794" s="476" t="s">
        <v>17</v>
      </c>
      <c r="M1794" s="476" t="s">
        <v>18</v>
      </c>
      <c r="N1794" s="476" t="s">
        <v>19</v>
      </c>
      <c r="O1794" s="476" t="s">
        <v>20</v>
      </c>
      <c r="P1794" s="476" t="s">
        <v>21</v>
      </c>
      <c r="Q1794" s="476" t="s">
        <v>22</v>
      </c>
      <c r="R1794" s="476" t="s">
        <v>23</v>
      </c>
      <c r="S1794" s="20" t="s">
        <v>24</v>
      </c>
      <c r="T1794" s="20" t="s">
        <v>25</v>
      </c>
      <c r="AM1794" s="375"/>
    </row>
    <row r="1795" spans="1:39" ht="51.75" customHeight="1" x14ac:dyDescent="0.25">
      <c r="A1795" s="653">
        <v>6</v>
      </c>
      <c r="B1795" s="17"/>
      <c r="C1795" s="693" t="s">
        <v>460</v>
      </c>
      <c r="D1795" s="19"/>
      <c r="E1795" s="26">
        <v>2025</v>
      </c>
      <c r="F1795" s="27">
        <v>10000</v>
      </c>
      <c r="G1795" s="22"/>
      <c r="H1795" s="22">
        <v>20000</v>
      </c>
      <c r="I1795" s="22">
        <v>60000</v>
      </c>
      <c r="J1795" s="36"/>
      <c r="K1795" s="22"/>
      <c r="L1795" s="22"/>
      <c r="M1795" s="22"/>
      <c r="N1795" s="22"/>
      <c r="O1795" s="22"/>
      <c r="P1795" s="22"/>
      <c r="Q1795" s="22"/>
      <c r="R1795" s="22"/>
      <c r="S1795" s="64">
        <f t="shared" ref="S1795:S1802" si="100">SUM(G1795:R1795)</f>
        <v>80000</v>
      </c>
      <c r="T1795" s="29">
        <f>SUM(F1795*IF(E1795=_current_year,_current_month,12)-(S1795))</f>
        <v>40000</v>
      </c>
    </row>
    <row r="1796" spans="1:39" ht="51.75" customHeight="1" x14ac:dyDescent="0.25">
      <c r="A1796" s="655"/>
      <c r="B1796" s="17"/>
      <c r="C1796" s="694" t="s">
        <v>461</v>
      </c>
      <c r="D1796" s="19"/>
      <c r="E1796" s="30">
        <v>2024</v>
      </c>
      <c r="F1796" s="27">
        <v>5000</v>
      </c>
      <c r="G1796" s="22"/>
      <c r="H1796" s="22">
        <v>60000</v>
      </c>
      <c r="I1796" s="22"/>
      <c r="J1796" s="36"/>
      <c r="K1796" s="22"/>
      <c r="L1796" s="22"/>
      <c r="M1796" s="22"/>
      <c r="N1796" s="22"/>
      <c r="O1796" s="22"/>
      <c r="P1796" s="22"/>
      <c r="Q1796" s="22"/>
      <c r="R1796" s="22"/>
      <c r="S1796" s="37">
        <f t="shared" si="100"/>
        <v>60000</v>
      </c>
      <c r="T1796" s="22">
        <f>SUM(F1796*IF(E1796=_current_year,_current_month,12)-(S1796))</f>
        <v>0</v>
      </c>
    </row>
    <row r="1797" spans="1:39" ht="51.75" customHeight="1" x14ac:dyDescent="0.5">
      <c r="A1797" s="655"/>
      <c r="B1797" s="17"/>
      <c r="D1797" s="19"/>
      <c r="E1797" s="30">
        <v>2023</v>
      </c>
      <c r="F1797" s="27">
        <v>5000</v>
      </c>
      <c r="G1797" s="22"/>
      <c r="H1797" s="22"/>
      <c r="I1797" s="22"/>
      <c r="J1797" s="36">
        <v>30000</v>
      </c>
      <c r="K1797" s="22"/>
      <c r="L1797" s="22"/>
      <c r="M1797" s="22"/>
      <c r="N1797" s="22"/>
      <c r="O1797" s="22">
        <v>30000</v>
      </c>
      <c r="P1797" s="22"/>
      <c r="Q1797" s="22"/>
      <c r="R1797" s="22"/>
      <c r="S1797" s="37">
        <f t="shared" si="100"/>
        <v>60000</v>
      </c>
      <c r="T1797" s="22">
        <f>SUM(F1797*IF(E1797=_current_year,_current_month,12)-(S1797))</f>
        <v>0</v>
      </c>
    </row>
    <row r="1798" spans="1:39" s="220" customFormat="1" ht="48" customHeight="1" x14ac:dyDescent="0.4">
      <c r="A1798" s="655"/>
      <c r="B1798" s="33" t="s">
        <v>28</v>
      </c>
      <c r="C1798" s="34"/>
      <c r="D1798" s="35"/>
      <c r="E1798" s="30">
        <v>2022</v>
      </c>
      <c r="F1798" s="251">
        <v>5000</v>
      </c>
      <c r="G1798" s="36"/>
      <c r="H1798" s="36">
        <v>30000</v>
      </c>
      <c r="I1798" s="36"/>
      <c r="J1798" s="36"/>
      <c r="K1798" s="36"/>
      <c r="L1798" s="36"/>
      <c r="M1798" s="36"/>
      <c r="N1798" s="36"/>
      <c r="O1798" s="36"/>
      <c r="P1798" s="36"/>
      <c r="Q1798" s="36"/>
      <c r="R1798" s="36"/>
      <c r="S1798" s="37">
        <f t="shared" si="100"/>
        <v>30000</v>
      </c>
      <c r="T1798" s="37">
        <f>SUM(60000-S1798)</f>
        <v>30000</v>
      </c>
      <c r="AM1798" s="250"/>
    </row>
    <row r="1799" spans="1:39" s="220" customFormat="1" ht="51.75" customHeight="1" x14ac:dyDescent="0.4">
      <c r="A1799" s="313" t="s">
        <v>445</v>
      </c>
      <c r="B1799" s="33" t="s">
        <v>28</v>
      </c>
      <c r="C1799" s="38" t="s">
        <v>52</v>
      </c>
      <c r="D1799" s="124"/>
      <c r="E1799" s="30">
        <v>2021</v>
      </c>
      <c r="F1799" s="251">
        <v>5000</v>
      </c>
      <c r="G1799" s="516">
        <v>30000</v>
      </c>
      <c r="H1799" s="482"/>
      <c r="I1799" s="482"/>
      <c r="J1799" s="482"/>
      <c r="K1799" s="482"/>
      <c r="L1799" s="482"/>
      <c r="M1799" s="482"/>
      <c r="N1799" s="482"/>
      <c r="O1799" s="482"/>
      <c r="P1799" s="482">
        <v>30000</v>
      </c>
      <c r="Q1799" s="482"/>
      <c r="R1799" s="482"/>
      <c r="S1799" s="252">
        <f t="shared" si="100"/>
        <v>60000</v>
      </c>
      <c r="T1799" s="252">
        <f>SUM(60000-S1799)</f>
        <v>0</v>
      </c>
      <c r="AM1799" s="250"/>
    </row>
    <row r="1800" spans="1:39" s="523" customFormat="1" ht="51.75" customHeight="1" x14ac:dyDescent="0.35">
      <c r="A1800" s="313"/>
      <c r="B1800" s="523" t="s">
        <v>28</v>
      </c>
      <c r="C1800" s="125"/>
      <c r="D1800" s="126"/>
      <c r="E1800" s="660">
        <v>2020</v>
      </c>
      <c r="F1800" s="251">
        <v>5000</v>
      </c>
      <c r="G1800" s="514">
        <f>30000+5000</f>
        <v>35000</v>
      </c>
      <c r="H1800" s="514">
        <v>5000</v>
      </c>
      <c r="I1800" s="514">
        <v>5000</v>
      </c>
      <c r="J1800" s="514">
        <v>5000</v>
      </c>
      <c r="K1800" s="514">
        <v>5000</v>
      </c>
      <c r="L1800" s="514">
        <v>5000</v>
      </c>
      <c r="M1800" s="516"/>
      <c r="N1800" s="516">
        <v>30000</v>
      </c>
      <c r="O1800" s="516"/>
      <c r="P1800" s="516"/>
      <c r="Q1800" s="516"/>
      <c r="R1800" s="516"/>
      <c r="S1800" s="252">
        <f t="shared" si="100"/>
        <v>90000</v>
      </c>
      <c r="T1800" s="257">
        <f>SUM(60000-S1800)</f>
        <v>-30000</v>
      </c>
      <c r="AM1800" s="525"/>
    </row>
    <row r="1801" spans="1:39" s="523" customFormat="1" ht="51.75" customHeight="1" x14ac:dyDescent="0.35">
      <c r="A1801" s="661"/>
      <c r="C1801" s="125"/>
      <c r="D1801" s="126"/>
      <c r="E1801" s="660">
        <v>2019</v>
      </c>
      <c r="F1801" s="251">
        <v>5000</v>
      </c>
      <c r="G1801" s="514">
        <v>5000</v>
      </c>
      <c r="H1801" s="514">
        <v>5000</v>
      </c>
      <c r="I1801" s="514">
        <v>5000</v>
      </c>
      <c r="J1801" s="514">
        <v>5000</v>
      </c>
      <c r="K1801" s="514">
        <v>5000</v>
      </c>
      <c r="L1801" s="514">
        <v>5000</v>
      </c>
      <c r="M1801" s="514">
        <v>5000</v>
      </c>
      <c r="N1801" s="514">
        <v>5000</v>
      </c>
      <c r="O1801" s="514">
        <v>5000</v>
      </c>
      <c r="P1801" s="514">
        <v>5000</v>
      </c>
      <c r="Q1801" s="514">
        <v>5000</v>
      </c>
      <c r="R1801" s="514">
        <f>10000+5000</f>
        <v>15000</v>
      </c>
      <c r="S1801" s="252">
        <f t="shared" si="100"/>
        <v>70000</v>
      </c>
      <c r="T1801" s="257">
        <f>SUM(60000-S1801)</f>
        <v>-10000</v>
      </c>
      <c r="AM1801" s="525"/>
    </row>
    <row r="1802" spans="1:39" s="523" customFormat="1" ht="51.75" customHeight="1" x14ac:dyDescent="0.35">
      <c r="A1802" s="661"/>
      <c r="C1802" s="125"/>
      <c r="D1802" s="126"/>
      <c r="E1802" s="660">
        <v>2018</v>
      </c>
      <c r="F1802" s="251">
        <v>5000</v>
      </c>
      <c r="G1802" s="514">
        <v>5000</v>
      </c>
      <c r="H1802" s="514">
        <v>5000</v>
      </c>
      <c r="I1802" s="514">
        <v>5000</v>
      </c>
      <c r="J1802" s="514">
        <v>5000</v>
      </c>
      <c r="K1802" s="514">
        <v>5000</v>
      </c>
      <c r="L1802" s="514">
        <v>5000</v>
      </c>
      <c r="M1802" s="514">
        <v>5000</v>
      </c>
      <c r="N1802" s="514">
        <v>5000</v>
      </c>
      <c r="O1802" s="514">
        <v>5000</v>
      </c>
      <c r="P1802" s="514">
        <v>5000</v>
      </c>
      <c r="Q1802" s="514">
        <v>5000</v>
      </c>
      <c r="R1802" s="514">
        <v>5000</v>
      </c>
      <c r="S1802" s="252">
        <f t="shared" si="100"/>
        <v>60000</v>
      </c>
      <c r="T1802" s="257">
        <f>SUM(60000-S1802)</f>
        <v>0</v>
      </c>
      <c r="AM1802" s="525"/>
    </row>
    <row r="1803" spans="1:39" s="523" customFormat="1" ht="51.75" customHeight="1" x14ac:dyDescent="0.4">
      <c r="A1803" s="309"/>
      <c r="C1803" s="125"/>
      <c r="D1803" s="126"/>
      <c r="E1803" s="660">
        <v>2017</v>
      </c>
      <c r="F1803" s="251">
        <v>5000</v>
      </c>
      <c r="G1803" s="516"/>
      <c r="H1803" s="516"/>
      <c r="I1803" s="514">
        <v>5000</v>
      </c>
      <c r="J1803" s="514">
        <v>5000</v>
      </c>
      <c r="K1803" s="514">
        <v>5000</v>
      </c>
      <c r="L1803" s="514">
        <v>5000</v>
      </c>
      <c r="M1803" s="514">
        <v>5000</v>
      </c>
      <c r="N1803" s="514">
        <v>5000</v>
      </c>
      <c r="O1803" s="514">
        <v>5000</v>
      </c>
      <c r="P1803" s="514">
        <v>5000</v>
      </c>
      <c r="Q1803" s="514">
        <v>5000</v>
      </c>
      <c r="R1803" s="514">
        <v>5000</v>
      </c>
      <c r="S1803" s="252">
        <f>SUM(I1803:R1803)</f>
        <v>50000</v>
      </c>
      <c r="T1803" s="257">
        <f>SUM(50000-S1803)</f>
        <v>0</v>
      </c>
      <c r="AM1803" s="525"/>
    </row>
    <row r="1804" spans="1:39" s="523" customFormat="1" ht="51.75" customHeight="1" thickBot="1" x14ac:dyDescent="0.45">
      <c r="A1804" s="253"/>
      <c r="C1804" s="658"/>
      <c r="D1804" s="659"/>
      <c r="E1804" s="526"/>
      <c r="F1804" s="265"/>
      <c r="G1804" s="489"/>
      <c r="H1804" s="489"/>
      <c r="I1804" s="489"/>
      <c r="J1804" s="489"/>
      <c r="K1804" s="489"/>
      <c r="L1804" s="489"/>
      <c r="M1804" s="489"/>
      <c r="N1804" s="489"/>
      <c r="O1804" s="489"/>
      <c r="P1804" s="489"/>
      <c r="Q1804" s="489"/>
      <c r="R1804" s="489"/>
      <c r="S1804" s="178">
        <f>SUM(S1795:S1803)</f>
        <v>560000</v>
      </c>
      <c r="T1804" s="87">
        <f>SUM(T1795:T1803)</f>
        <v>30000</v>
      </c>
      <c r="AM1804" s="525"/>
    </row>
    <row r="1805" spans="1:39" s="523" customFormat="1" ht="51.75" customHeight="1" x14ac:dyDescent="0.4">
      <c r="A1805" s="253"/>
      <c r="C1805" s="658"/>
      <c r="D1805" s="659"/>
      <c r="E1805" s="695"/>
      <c r="F1805" s="234"/>
      <c r="G1805" s="389"/>
      <c r="H1805" s="389"/>
      <c r="I1805" s="389"/>
      <c r="J1805" s="389"/>
      <c r="K1805" s="389"/>
      <c r="L1805" s="389"/>
      <c r="M1805" s="389"/>
      <c r="N1805" s="389"/>
      <c r="O1805" s="389"/>
      <c r="P1805" s="389"/>
      <c r="Q1805" s="389"/>
      <c r="R1805" s="389"/>
      <c r="S1805" s="344"/>
      <c r="T1805" s="344"/>
      <c r="AM1805" s="525"/>
    </row>
    <row r="1806" spans="1:39" s="374" customFormat="1" ht="51.75" customHeight="1" x14ac:dyDescent="0.4">
      <c r="A1806" s="241" t="s">
        <v>6</v>
      </c>
      <c r="B1806" s="368" t="s">
        <v>7</v>
      </c>
      <c r="C1806" s="369" t="s">
        <v>8</v>
      </c>
      <c r="D1806" s="518" t="s">
        <v>231</v>
      </c>
      <c r="E1806" s="371" t="s">
        <v>10</v>
      </c>
      <c r="F1806" s="372" t="s">
        <v>11</v>
      </c>
      <c r="G1806" s="476" t="s">
        <v>12</v>
      </c>
      <c r="H1806" s="476" t="s">
        <v>13</v>
      </c>
      <c r="I1806" s="476" t="s">
        <v>14</v>
      </c>
      <c r="J1806" s="476" t="s">
        <v>15</v>
      </c>
      <c r="K1806" s="476" t="s">
        <v>16</v>
      </c>
      <c r="L1806" s="476" t="s">
        <v>17</v>
      </c>
      <c r="M1806" s="476" t="s">
        <v>18</v>
      </c>
      <c r="N1806" s="476" t="s">
        <v>19</v>
      </c>
      <c r="O1806" s="476" t="s">
        <v>20</v>
      </c>
      <c r="P1806" s="476" t="s">
        <v>21</v>
      </c>
      <c r="Q1806" s="476" t="s">
        <v>22</v>
      </c>
      <c r="R1806" s="476" t="s">
        <v>23</v>
      </c>
      <c r="S1806" s="20" t="s">
        <v>24</v>
      </c>
      <c r="T1806" s="20" t="s">
        <v>25</v>
      </c>
      <c r="AM1806" s="375"/>
    </row>
    <row r="1807" spans="1:39" ht="51.75" customHeight="1" x14ac:dyDescent="0.25">
      <c r="A1807" s="662" t="s">
        <v>462</v>
      </c>
      <c r="B1807" s="17"/>
      <c r="C1807" s="519" t="s">
        <v>463</v>
      </c>
      <c r="D1807" s="19"/>
      <c r="E1807" s="26">
        <v>2025</v>
      </c>
      <c r="F1807" s="27">
        <v>10000</v>
      </c>
      <c r="G1807" s="22"/>
      <c r="H1807" s="22"/>
      <c r="I1807" s="22"/>
      <c r="J1807" s="22"/>
      <c r="K1807" s="22"/>
      <c r="L1807" s="22"/>
      <c r="M1807" s="22"/>
      <c r="N1807" s="22"/>
      <c r="O1807" s="22"/>
      <c r="P1807" s="22"/>
      <c r="Q1807" s="22"/>
      <c r="R1807" s="22"/>
      <c r="S1807" s="64">
        <f>SUM(G1807:R1807)</f>
        <v>0</v>
      </c>
      <c r="T1807" s="29">
        <f>SUM(F1807*IF(E1807=_current_year,_current_month,12)-(S1807))</f>
        <v>120000</v>
      </c>
    </row>
    <row r="1808" spans="1:39" ht="51.75" customHeight="1" x14ac:dyDescent="0.25">
      <c r="A1808" s="663"/>
      <c r="B1808" s="17"/>
      <c r="C1808" s="520"/>
      <c r="D1808" s="19"/>
      <c r="E1808" s="30">
        <v>2024</v>
      </c>
      <c r="F1808" s="27">
        <v>5000</v>
      </c>
      <c r="G1808" s="22"/>
      <c r="H1808" s="22"/>
      <c r="I1808" s="22"/>
      <c r="J1808" s="22"/>
      <c r="K1808" s="22"/>
      <c r="L1808" s="22"/>
      <c r="M1808" s="22"/>
      <c r="N1808" s="22"/>
      <c r="O1808" s="22"/>
      <c r="P1808" s="22"/>
      <c r="Q1808" s="22"/>
      <c r="R1808" s="22"/>
      <c r="S1808" s="37">
        <f>SUM(G1808:R1808)</f>
        <v>0</v>
      </c>
      <c r="T1808" s="22">
        <f>SUM(F1808*IF(E1808=_current_year,_current_month,12)-(S1808))</f>
        <v>60000</v>
      </c>
    </row>
    <row r="1809" spans="1:39" ht="51.75" customHeight="1" x14ac:dyDescent="0.25">
      <c r="A1809" s="663"/>
      <c r="B1809" s="17"/>
      <c r="C1809" s="687"/>
      <c r="D1809" s="19"/>
      <c r="E1809" s="30">
        <v>2023</v>
      </c>
      <c r="F1809" s="27">
        <v>5000</v>
      </c>
      <c r="G1809" s="22"/>
      <c r="H1809" s="22"/>
      <c r="I1809" s="22"/>
      <c r="J1809" s="22"/>
      <c r="K1809" s="22"/>
      <c r="L1809" s="22"/>
      <c r="M1809" s="22"/>
      <c r="N1809" s="22"/>
      <c r="O1809" s="22"/>
      <c r="P1809" s="22"/>
      <c r="Q1809" s="22"/>
      <c r="R1809" s="336" t="s">
        <v>464</v>
      </c>
      <c r="S1809" s="37">
        <f>SUM(G1809:R1809)</f>
        <v>0</v>
      </c>
      <c r="T1809" s="22">
        <v>0</v>
      </c>
    </row>
    <row r="1810" spans="1:39" s="220" customFormat="1" ht="48" customHeight="1" x14ac:dyDescent="0.4">
      <c r="A1810" s="663"/>
      <c r="B1810" s="33" t="s">
        <v>28</v>
      </c>
      <c r="C1810" s="38" t="s">
        <v>52</v>
      </c>
      <c r="D1810" s="124"/>
      <c r="E1810" s="73"/>
      <c r="F1810" s="74"/>
      <c r="G1810" s="74"/>
      <c r="H1810" s="74"/>
      <c r="I1810" s="74"/>
      <c r="J1810" s="74"/>
      <c r="K1810" s="74"/>
      <c r="L1810" s="74"/>
      <c r="M1810" s="74"/>
      <c r="N1810" s="74"/>
      <c r="O1810" s="74"/>
      <c r="P1810" s="74"/>
      <c r="Q1810" s="74"/>
      <c r="R1810" s="74"/>
      <c r="S1810" s="74"/>
      <c r="T1810" s="75"/>
      <c r="AM1810" s="250"/>
    </row>
    <row r="1811" spans="1:39" s="220" customFormat="1" ht="51.75" customHeight="1" x14ac:dyDescent="0.4">
      <c r="A1811" s="313" t="s">
        <v>445</v>
      </c>
      <c r="B1811" s="33" t="s">
        <v>28</v>
      </c>
      <c r="C1811" s="125"/>
      <c r="D1811" s="126"/>
      <c r="E1811" s="77"/>
      <c r="F1811" s="78"/>
      <c r="G1811" s="78"/>
      <c r="H1811" s="78"/>
      <c r="I1811" s="78"/>
      <c r="J1811" s="78"/>
      <c r="K1811" s="78"/>
      <c r="L1811" s="78"/>
      <c r="M1811" s="78"/>
      <c r="N1811" s="78"/>
      <c r="O1811" s="78"/>
      <c r="P1811" s="78"/>
      <c r="Q1811" s="78"/>
      <c r="R1811" s="78"/>
      <c r="S1811" s="78"/>
      <c r="T1811" s="79"/>
      <c r="AM1811" s="250"/>
    </row>
    <row r="1812" spans="1:39" s="523" customFormat="1" ht="51.75" customHeight="1" x14ac:dyDescent="0.35">
      <c r="A1812" s="313"/>
      <c r="B1812" s="523" t="s">
        <v>28</v>
      </c>
      <c r="C1812" s="125"/>
      <c r="D1812" s="126"/>
      <c r="E1812" s="167"/>
      <c r="F1812" s="168"/>
      <c r="G1812" s="168"/>
      <c r="H1812" s="168"/>
      <c r="I1812" s="168"/>
      <c r="J1812" s="168"/>
      <c r="K1812" s="168"/>
      <c r="L1812" s="168"/>
      <c r="M1812" s="168"/>
      <c r="N1812" s="168"/>
      <c r="O1812" s="168"/>
      <c r="P1812" s="168"/>
      <c r="Q1812" s="168"/>
      <c r="R1812" s="168"/>
      <c r="S1812" s="168"/>
      <c r="T1812" s="169"/>
      <c r="AM1812" s="525"/>
    </row>
    <row r="1813" spans="1:39" s="523" customFormat="1" ht="51.75" customHeight="1" thickBot="1" x14ac:dyDescent="0.45">
      <c r="A1813" s="253"/>
      <c r="C1813" s="658"/>
      <c r="D1813" s="659"/>
      <c r="E1813" s="526"/>
      <c r="F1813" s="265"/>
      <c r="G1813" s="489"/>
      <c r="H1813" s="489"/>
      <c r="I1813" s="489"/>
      <c r="J1813" s="489"/>
      <c r="K1813" s="489"/>
      <c r="L1813" s="489"/>
      <c r="M1813" s="489"/>
      <c r="N1813" s="489"/>
      <c r="O1813" s="489"/>
      <c r="P1813" s="489"/>
      <c r="Q1813" s="489"/>
      <c r="R1813" s="489"/>
      <c r="S1813" s="178">
        <f>SUM(S1807:S1812)</f>
        <v>0</v>
      </c>
      <c r="T1813" s="87">
        <f>SUM(T1807:T1812)</f>
        <v>180000</v>
      </c>
      <c r="AM1813" s="525"/>
    </row>
    <row r="1814" spans="1:39" s="523" customFormat="1" ht="51.75" customHeight="1" x14ac:dyDescent="0.45">
      <c r="A1814" s="253"/>
      <c r="C1814" s="658"/>
      <c r="D1814" s="659"/>
      <c r="F1814" s="253"/>
      <c r="G1814" s="512"/>
      <c r="H1814" s="512"/>
      <c r="I1814" s="512"/>
      <c r="J1814" s="512"/>
      <c r="K1814" s="512"/>
      <c r="L1814" s="512"/>
      <c r="M1814" s="512"/>
      <c r="N1814" s="512"/>
      <c r="O1814" s="512"/>
      <c r="P1814" s="512"/>
      <c r="Q1814" s="512"/>
      <c r="R1814" s="512"/>
      <c r="S1814" s="269"/>
      <c r="T1814" s="269"/>
      <c r="AM1814" s="525"/>
    </row>
    <row r="1815" spans="1:39" s="523" customFormat="1" ht="51.75" customHeight="1" x14ac:dyDescent="0.4">
      <c r="A1815" s="253"/>
      <c r="C1815" s="658"/>
      <c r="D1815" s="659"/>
      <c r="E1815" s="695"/>
      <c r="F1815" s="234"/>
      <c r="G1815" s="389"/>
      <c r="H1815" s="389"/>
      <c r="I1815" s="389"/>
      <c r="J1815" s="389"/>
      <c r="K1815" s="389"/>
      <c r="L1815" s="389"/>
      <c r="M1815" s="389"/>
      <c r="N1815" s="389"/>
      <c r="O1815" s="389"/>
      <c r="P1815" s="389"/>
      <c r="Q1815" s="389"/>
      <c r="R1815" s="389"/>
      <c r="S1815" s="344"/>
      <c r="T1815" s="344"/>
      <c r="AM1815" s="525"/>
    </row>
    <row r="1816" spans="1:39" s="374" customFormat="1" ht="51.75" customHeight="1" x14ac:dyDescent="0.4">
      <c r="A1816" s="241" t="s">
        <v>6</v>
      </c>
      <c r="B1816" s="368" t="s">
        <v>7</v>
      </c>
      <c r="C1816" s="369" t="s">
        <v>8</v>
      </c>
      <c r="D1816" s="518" t="s">
        <v>231</v>
      </c>
      <c r="E1816" s="371" t="s">
        <v>10</v>
      </c>
      <c r="F1816" s="372" t="s">
        <v>11</v>
      </c>
      <c r="G1816" s="476" t="s">
        <v>12</v>
      </c>
      <c r="H1816" s="476" t="s">
        <v>13</v>
      </c>
      <c r="I1816" s="476" t="s">
        <v>14</v>
      </c>
      <c r="J1816" s="476" t="s">
        <v>15</v>
      </c>
      <c r="K1816" s="476" t="s">
        <v>16</v>
      </c>
      <c r="L1816" s="476" t="s">
        <v>17</v>
      </c>
      <c r="M1816" s="476" t="s">
        <v>18</v>
      </c>
      <c r="N1816" s="476" t="s">
        <v>19</v>
      </c>
      <c r="O1816" s="476" t="s">
        <v>20</v>
      </c>
      <c r="P1816" s="476" t="s">
        <v>21</v>
      </c>
      <c r="Q1816" s="476" t="s">
        <v>22</v>
      </c>
      <c r="R1816" s="476" t="s">
        <v>23</v>
      </c>
      <c r="S1816" s="20" t="s">
        <v>24</v>
      </c>
      <c r="T1816" s="20" t="s">
        <v>25</v>
      </c>
      <c r="AM1816" s="375"/>
    </row>
    <row r="1817" spans="1:39" ht="51.75" customHeight="1" x14ac:dyDescent="0.25">
      <c r="A1817" s="662" t="s">
        <v>465</v>
      </c>
      <c r="B1817" s="17"/>
      <c r="C1817" s="519" t="s">
        <v>466</v>
      </c>
      <c r="D1817" s="19"/>
      <c r="E1817" s="26">
        <v>2025</v>
      </c>
      <c r="F1817" s="27">
        <v>10000</v>
      </c>
      <c r="G1817" s="696"/>
      <c r="H1817" s="696"/>
      <c r="I1817" s="696"/>
      <c r="J1817" s="696"/>
      <c r="K1817" s="696"/>
      <c r="L1817" s="696"/>
      <c r="M1817" s="696"/>
      <c r="N1817" s="696"/>
      <c r="O1817" s="696"/>
      <c r="P1817" s="696"/>
      <c r="Q1817" s="696"/>
      <c r="R1817" s="696"/>
      <c r="S1817" s="64">
        <f t="shared" ref="S1817:S1827" si="101">SUM(G1817:R1817)</f>
        <v>0</v>
      </c>
      <c r="T1817" s="29">
        <f>SUM(F1817*IF(E1817=_current_year,_current_month,12)-(S1817))</f>
        <v>120000</v>
      </c>
    </row>
    <row r="1818" spans="1:39" ht="51.75" customHeight="1" x14ac:dyDescent="0.25">
      <c r="A1818" s="663"/>
      <c r="B1818" s="17"/>
      <c r="C1818" s="684"/>
      <c r="D1818" s="19"/>
      <c r="E1818" s="30">
        <v>2024</v>
      </c>
      <c r="F1818" s="27">
        <v>5000</v>
      </c>
      <c r="G1818" s="696"/>
      <c r="H1818" s="696"/>
      <c r="I1818" s="696"/>
      <c r="J1818" s="696">
        <v>90000</v>
      </c>
      <c r="K1818" s="696"/>
      <c r="L1818" s="696"/>
      <c r="M1818" s="696"/>
      <c r="N1818" s="696"/>
      <c r="O1818" s="696"/>
      <c r="P1818" s="696"/>
      <c r="Q1818" s="696"/>
      <c r="R1818" s="696"/>
      <c r="S1818" s="37">
        <f t="shared" si="101"/>
        <v>90000</v>
      </c>
      <c r="T1818" s="22">
        <f>SUM(F1818*IF(E1818=_current_year,_current_month,12)-(S1818))</f>
        <v>-30000</v>
      </c>
    </row>
    <row r="1819" spans="1:39" ht="51.75" customHeight="1" x14ac:dyDescent="0.25">
      <c r="A1819" s="663"/>
      <c r="B1819" s="17"/>
      <c r="C1819" s="684"/>
      <c r="D1819" s="19"/>
      <c r="E1819" s="30">
        <v>2023</v>
      </c>
      <c r="F1819" s="27">
        <v>5000</v>
      </c>
      <c r="G1819" s="697"/>
      <c r="H1819" s="696"/>
      <c r="I1819" s="696"/>
      <c r="J1819" s="696"/>
      <c r="K1819" s="696"/>
      <c r="L1819" s="696"/>
      <c r="M1819" s="696">
        <v>90000</v>
      </c>
      <c r="N1819" s="696"/>
      <c r="O1819" s="696"/>
      <c r="P1819" s="696"/>
      <c r="Q1819" s="696"/>
      <c r="R1819" s="696">
        <v>15000</v>
      </c>
      <c r="S1819" s="37">
        <f t="shared" si="101"/>
        <v>105000</v>
      </c>
      <c r="T1819" s="22">
        <f>SUM(F1819*IF(E1819=_current_year,_current_month,12)-(S1819))</f>
        <v>-45000</v>
      </c>
    </row>
    <row r="1820" spans="1:39" s="220" customFormat="1" ht="48" customHeight="1" x14ac:dyDescent="0.4">
      <c r="A1820" s="663"/>
      <c r="B1820" s="33" t="s">
        <v>28</v>
      </c>
      <c r="C1820" s="520"/>
      <c r="D1820" s="35"/>
      <c r="E1820" s="30">
        <v>2022</v>
      </c>
      <c r="F1820" s="251">
        <v>5000</v>
      </c>
      <c r="G1820" s="698"/>
      <c r="H1820" s="698"/>
      <c r="I1820" s="698"/>
      <c r="J1820" s="698"/>
      <c r="K1820" s="698">
        <v>25000</v>
      </c>
      <c r="L1820" s="698"/>
      <c r="M1820" s="698"/>
      <c r="N1820" s="698"/>
      <c r="O1820" s="698"/>
      <c r="P1820" s="698"/>
      <c r="Q1820" s="698"/>
      <c r="R1820" s="698"/>
      <c r="S1820" s="37">
        <f t="shared" si="101"/>
        <v>25000</v>
      </c>
      <c r="T1820" s="37">
        <f t="shared" ref="T1820:T1827" si="102">SUM(60000-S1820)</f>
        <v>35000</v>
      </c>
      <c r="AM1820" s="250"/>
    </row>
    <row r="1821" spans="1:39" s="220" customFormat="1" ht="51.75" customHeight="1" x14ac:dyDescent="0.4">
      <c r="A1821" s="313" t="s">
        <v>445</v>
      </c>
      <c r="B1821" s="33" t="s">
        <v>28</v>
      </c>
      <c r="C1821" s="38" t="s">
        <v>52</v>
      </c>
      <c r="D1821" s="124"/>
      <c r="E1821" s="30">
        <v>2021</v>
      </c>
      <c r="F1821" s="251">
        <v>5000</v>
      </c>
      <c r="G1821" s="482"/>
      <c r="H1821" s="482"/>
      <c r="I1821" s="482"/>
      <c r="J1821" s="482"/>
      <c r="K1821" s="482"/>
      <c r="L1821" s="482"/>
      <c r="M1821" s="482"/>
      <c r="N1821" s="482"/>
      <c r="O1821" s="482"/>
      <c r="P1821" s="482"/>
      <c r="Q1821" s="482"/>
      <c r="R1821" s="482"/>
      <c r="S1821" s="252">
        <f t="shared" si="101"/>
        <v>0</v>
      </c>
      <c r="T1821" s="252">
        <f t="shared" si="102"/>
        <v>60000</v>
      </c>
      <c r="AM1821" s="250"/>
    </row>
    <row r="1822" spans="1:39" s="523" customFormat="1" ht="51.75" customHeight="1" x14ac:dyDescent="0.35">
      <c r="A1822" s="313"/>
      <c r="B1822" s="523" t="s">
        <v>28</v>
      </c>
      <c r="C1822" s="125"/>
      <c r="D1822" s="126"/>
      <c r="E1822" s="660">
        <v>2020</v>
      </c>
      <c r="F1822" s="251">
        <v>5000</v>
      </c>
      <c r="G1822" s="516"/>
      <c r="H1822" s="516"/>
      <c r="I1822" s="516"/>
      <c r="J1822" s="516"/>
      <c r="K1822" s="516"/>
      <c r="L1822" s="516"/>
      <c r="M1822" s="516"/>
      <c r="N1822" s="516"/>
      <c r="O1822" s="516"/>
      <c r="P1822" s="516"/>
      <c r="Q1822" s="516"/>
      <c r="R1822" s="516"/>
      <c r="S1822" s="252">
        <f t="shared" si="101"/>
        <v>0</v>
      </c>
      <c r="T1822" s="257">
        <f t="shared" si="102"/>
        <v>60000</v>
      </c>
      <c r="AM1822" s="525"/>
    </row>
    <row r="1823" spans="1:39" s="523" customFormat="1" ht="51.75" customHeight="1" x14ac:dyDescent="0.35">
      <c r="A1823" s="699"/>
      <c r="C1823" s="125"/>
      <c r="D1823" s="126"/>
      <c r="E1823" s="660">
        <v>2019</v>
      </c>
      <c r="F1823" s="251">
        <v>5000</v>
      </c>
      <c r="G1823" s="516"/>
      <c r="H1823" s="516"/>
      <c r="I1823" s="516"/>
      <c r="J1823" s="516"/>
      <c r="K1823" s="516"/>
      <c r="L1823" s="516"/>
      <c r="M1823" s="516"/>
      <c r="N1823" s="516"/>
      <c r="O1823" s="516"/>
      <c r="P1823" s="516"/>
      <c r="Q1823" s="516">
        <v>60000</v>
      </c>
      <c r="R1823" s="516">
        <v>10000</v>
      </c>
      <c r="S1823" s="252">
        <f t="shared" si="101"/>
        <v>70000</v>
      </c>
      <c r="T1823" s="257">
        <f t="shared" si="102"/>
        <v>-10000</v>
      </c>
      <c r="AM1823" s="525"/>
    </row>
    <row r="1824" spans="1:39" s="523" customFormat="1" ht="51.75" customHeight="1" x14ac:dyDescent="0.4">
      <c r="A1824" s="309"/>
      <c r="C1824" s="125"/>
      <c r="D1824" s="126"/>
      <c r="E1824" s="660">
        <v>2018</v>
      </c>
      <c r="F1824" s="251">
        <v>5000</v>
      </c>
      <c r="G1824" s="700">
        <v>5000</v>
      </c>
      <c r="H1824" s="700">
        <v>5000</v>
      </c>
      <c r="I1824" s="700">
        <v>5000</v>
      </c>
      <c r="J1824" s="700">
        <v>5000</v>
      </c>
      <c r="K1824" s="700">
        <v>5000</v>
      </c>
      <c r="L1824" s="701"/>
      <c r="M1824" s="701"/>
      <c r="N1824" s="701"/>
      <c r="O1824" s="701"/>
      <c r="P1824" s="701"/>
      <c r="Q1824" s="701"/>
      <c r="R1824" s="701"/>
      <c r="S1824" s="252">
        <f t="shared" si="101"/>
        <v>25000</v>
      </c>
      <c r="T1824" s="257">
        <f t="shared" si="102"/>
        <v>35000</v>
      </c>
      <c r="AM1824" s="525"/>
    </row>
    <row r="1825" spans="1:39" s="523" customFormat="1" ht="51.75" customHeight="1" x14ac:dyDescent="0.35">
      <c r="A1825" s="702" t="s">
        <v>467</v>
      </c>
      <c r="C1825" s="125"/>
      <c r="D1825" s="126"/>
      <c r="E1825" s="660">
        <v>2017</v>
      </c>
      <c r="F1825" s="251">
        <v>5000</v>
      </c>
      <c r="G1825" s="700">
        <v>5000</v>
      </c>
      <c r="H1825" s="700">
        <v>5000</v>
      </c>
      <c r="I1825" s="700">
        <v>5000</v>
      </c>
      <c r="J1825" s="700">
        <v>5000</v>
      </c>
      <c r="K1825" s="700">
        <v>5000</v>
      </c>
      <c r="L1825" s="700">
        <v>5000</v>
      </c>
      <c r="M1825" s="700">
        <v>5000</v>
      </c>
      <c r="N1825" s="700">
        <v>5000</v>
      </c>
      <c r="O1825" s="700">
        <v>5000</v>
      </c>
      <c r="P1825" s="700">
        <v>5000</v>
      </c>
      <c r="Q1825" s="700">
        <v>5000</v>
      </c>
      <c r="R1825" s="700">
        <v>5000</v>
      </c>
      <c r="S1825" s="252">
        <f t="shared" si="101"/>
        <v>60000</v>
      </c>
      <c r="T1825" s="257">
        <f t="shared" si="102"/>
        <v>0</v>
      </c>
      <c r="AM1825" s="525"/>
    </row>
    <row r="1826" spans="1:39" s="523" customFormat="1" ht="51.75" customHeight="1" x14ac:dyDescent="0.35">
      <c r="A1826" s="702"/>
      <c r="C1826" s="125"/>
      <c r="D1826" s="126"/>
      <c r="E1826" s="660">
        <v>2016</v>
      </c>
      <c r="F1826" s="251">
        <v>5000</v>
      </c>
      <c r="G1826" s="700">
        <v>5000</v>
      </c>
      <c r="H1826" s="700">
        <v>5000</v>
      </c>
      <c r="I1826" s="700"/>
      <c r="J1826" s="700"/>
      <c r="K1826" s="700"/>
      <c r="L1826" s="700"/>
      <c r="M1826" s="700"/>
      <c r="N1826" s="700"/>
      <c r="O1826" s="700"/>
      <c r="P1826" s="700"/>
      <c r="Q1826" s="700"/>
      <c r="R1826" s="700"/>
      <c r="S1826" s="252">
        <f t="shared" si="101"/>
        <v>10000</v>
      </c>
      <c r="T1826" s="257">
        <f t="shared" si="102"/>
        <v>50000</v>
      </c>
      <c r="AM1826" s="525"/>
    </row>
    <row r="1827" spans="1:39" s="523" customFormat="1" ht="51.75" customHeight="1" x14ac:dyDescent="0.4">
      <c r="A1827" s="317"/>
      <c r="C1827" s="129"/>
      <c r="D1827" s="130"/>
      <c r="E1827" s="660">
        <v>2015</v>
      </c>
      <c r="F1827" s="251">
        <v>5000</v>
      </c>
      <c r="G1827" s="700">
        <v>5000</v>
      </c>
      <c r="H1827" s="700">
        <v>5000</v>
      </c>
      <c r="I1827" s="700">
        <v>5000</v>
      </c>
      <c r="J1827" s="700">
        <v>5000</v>
      </c>
      <c r="K1827" s="700">
        <v>5000</v>
      </c>
      <c r="L1827" s="700">
        <v>5000</v>
      </c>
      <c r="M1827" s="700">
        <v>5000</v>
      </c>
      <c r="N1827" s="700">
        <v>5000</v>
      </c>
      <c r="O1827" s="700">
        <v>5000</v>
      </c>
      <c r="P1827" s="700">
        <v>5000</v>
      </c>
      <c r="Q1827" s="700">
        <v>5000</v>
      </c>
      <c r="R1827" s="700">
        <v>5000</v>
      </c>
      <c r="S1827" s="252">
        <f t="shared" si="101"/>
        <v>60000</v>
      </c>
      <c r="T1827" s="257">
        <f t="shared" si="102"/>
        <v>0</v>
      </c>
      <c r="AM1827" s="525"/>
    </row>
    <row r="1828" spans="1:39" s="523" customFormat="1" ht="51.75" customHeight="1" thickBot="1" x14ac:dyDescent="0.45">
      <c r="A1828" s="253"/>
      <c r="C1828" s="658"/>
      <c r="D1828" s="659"/>
      <c r="E1828" s="526"/>
      <c r="F1828" s="265"/>
      <c r="G1828" s="489"/>
      <c r="H1828" s="489"/>
      <c r="I1828" s="489"/>
      <c r="J1828" s="489"/>
      <c r="K1828" s="489"/>
      <c r="L1828" s="489"/>
      <c r="M1828" s="489"/>
      <c r="N1828" s="489"/>
      <c r="O1828" s="489"/>
      <c r="P1828" s="489"/>
      <c r="Q1828" s="489"/>
      <c r="R1828" s="489"/>
      <c r="S1828" s="178">
        <f>SUM(S1817:S1827)</f>
        <v>445000</v>
      </c>
      <c r="T1828" s="87">
        <f>SUM(T1817:T1827)</f>
        <v>275000</v>
      </c>
      <c r="AM1828" s="525"/>
    </row>
    <row r="1829" spans="1:39" s="523" customFormat="1" ht="51.75" customHeight="1" x14ac:dyDescent="0.45">
      <c r="A1829" s="253"/>
      <c r="C1829" s="658"/>
      <c r="D1829" s="659"/>
      <c r="F1829" s="253"/>
      <c r="G1829" s="512"/>
      <c r="H1829" s="512"/>
      <c r="I1829" s="512"/>
      <c r="J1829" s="512"/>
      <c r="K1829" s="512"/>
      <c r="L1829" s="512"/>
      <c r="M1829" s="512"/>
      <c r="N1829" s="512"/>
      <c r="O1829" s="512"/>
      <c r="P1829" s="512"/>
      <c r="Q1829" s="512"/>
      <c r="R1829" s="512"/>
      <c r="S1829" s="269"/>
      <c r="T1829" s="269"/>
      <c r="AM1829" s="525"/>
    </row>
    <row r="1830" spans="1:39" s="374" customFormat="1" ht="51.75" customHeight="1" x14ac:dyDescent="0.4">
      <c r="A1830" s="241" t="s">
        <v>6</v>
      </c>
      <c r="B1830" s="368" t="s">
        <v>7</v>
      </c>
      <c r="C1830" s="369" t="s">
        <v>8</v>
      </c>
      <c r="D1830" s="518" t="s">
        <v>231</v>
      </c>
      <c r="E1830" s="371" t="s">
        <v>10</v>
      </c>
      <c r="F1830" s="372" t="s">
        <v>11</v>
      </c>
      <c r="G1830" s="476" t="s">
        <v>12</v>
      </c>
      <c r="H1830" s="476" t="s">
        <v>13</v>
      </c>
      <c r="I1830" s="476" t="s">
        <v>14</v>
      </c>
      <c r="J1830" s="476" t="s">
        <v>15</v>
      </c>
      <c r="K1830" s="476" t="s">
        <v>16</v>
      </c>
      <c r="L1830" s="476" t="s">
        <v>17</v>
      </c>
      <c r="M1830" s="476" t="s">
        <v>18</v>
      </c>
      <c r="N1830" s="476" t="s">
        <v>19</v>
      </c>
      <c r="O1830" s="476" t="s">
        <v>20</v>
      </c>
      <c r="P1830" s="476" t="s">
        <v>21</v>
      </c>
      <c r="Q1830" s="476" t="s">
        <v>22</v>
      </c>
      <c r="R1830" s="476" t="s">
        <v>23</v>
      </c>
      <c r="S1830" s="20" t="s">
        <v>24</v>
      </c>
      <c r="T1830" s="20" t="s">
        <v>25</v>
      </c>
      <c r="AM1830" s="375"/>
    </row>
    <row r="1831" spans="1:39" ht="51.6" customHeight="1" x14ac:dyDescent="0.25">
      <c r="A1831" s="653">
        <v>8</v>
      </c>
      <c r="B1831" s="17"/>
      <c r="C1831" s="519" t="s">
        <v>468</v>
      </c>
      <c r="D1831" s="19"/>
      <c r="E1831" s="26">
        <v>2025</v>
      </c>
      <c r="F1831" s="27">
        <v>10000</v>
      </c>
      <c r="G1831" s="22"/>
      <c r="H1831" s="22"/>
      <c r="I1831" s="22">
        <v>120000</v>
      </c>
      <c r="J1831" s="22"/>
      <c r="K1831" s="22"/>
      <c r="L1831" s="22"/>
      <c r="M1831" s="22"/>
      <c r="N1831" s="22"/>
      <c r="O1831" s="22"/>
      <c r="P1831" s="22"/>
      <c r="Q1831" s="22"/>
      <c r="R1831" s="22"/>
      <c r="S1831" s="64">
        <f t="shared" ref="S1831:S1841" si="103">SUM(G1831:R1831)</f>
        <v>120000</v>
      </c>
      <c r="T1831" s="29">
        <f>SUM(F1831*IF(E1831=_current_year,_current_month,12)-(S1831))</f>
        <v>0</v>
      </c>
    </row>
    <row r="1832" spans="1:39" ht="51.6" customHeight="1" x14ac:dyDescent="0.25">
      <c r="A1832" s="655"/>
      <c r="B1832" s="17"/>
      <c r="C1832" s="684"/>
      <c r="D1832" s="19"/>
      <c r="E1832" s="30">
        <v>2024</v>
      </c>
      <c r="F1832" s="27">
        <v>5000</v>
      </c>
      <c r="G1832" s="22">
        <v>60000</v>
      </c>
      <c r="H1832" s="22"/>
      <c r="I1832" s="22"/>
      <c r="J1832" s="22"/>
      <c r="K1832" s="22"/>
      <c r="L1832" s="22"/>
      <c r="M1832" s="22"/>
      <c r="N1832" s="22"/>
      <c r="O1832" s="22"/>
      <c r="P1832" s="22"/>
      <c r="Q1832" s="22"/>
      <c r="R1832" s="22"/>
      <c r="S1832" s="37">
        <f t="shared" si="103"/>
        <v>60000</v>
      </c>
      <c r="T1832" s="22">
        <f>SUM(F1832*IF(E1832=_current_year,_current_month,12)-(S1832))</f>
        <v>0</v>
      </c>
    </row>
    <row r="1833" spans="1:39" ht="51.6" customHeight="1" x14ac:dyDescent="0.25">
      <c r="A1833" s="655"/>
      <c r="B1833" s="17"/>
      <c r="C1833" s="684"/>
      <c r="D1833" s="19"/>
      <c r="E1833" s="30">
        <v>2023</v>
      </c>
      <c r="F1833" s="27">
        <v>5000</v>
      </c>
      <c r="G1833" s="22">
        <v>60000</v>
      </c>
      <c r="H1833" s="22"/>
      <c r="I1833" s="22"/>
      <c r="J1833" s="22"/>
      <c r="K1833" s="22"/>
      <c r="L1833" s="22"/>
      <c r="M1833" s="22"/>
      <c r="N1833" s="22"/>
      <c r="O1833" s="22"/>
      <c r="P1833" s="22"/>
      <c r="Q1833" s="22"/>
      <c r="R1833" s="22"/>
      <c r="S1833" s="37">
        <f t="shared" si="103"/>
        <v>60000</v>
      </c>
      <c r="T1833" s="22">
        <f>SUM(F1833*12)-(S1833)</f>
        <v>0</v>
      </c>
    </row>
    <row r="1834" spans="1:39" s="220" customFormat="1" ht="48" customHeight="1" x14ac:dyDescent="0.4">
      <c r="A1834" s="655"/>
      <c r="B1834" s="33" t="s">
        <v>28</v>
      </c>
      <c r="C1834" s="520"/>
      <c r="D1834" s="35"/>
      <c r="E1834" s="30">
        <v>2022</v>
      </c>
      <c r="F1834" s="251">
        <v>5000</v>
      </c>
      <c r="G1834" s="36"/>
      <c r="H1834" s="36">
        <v>60000</v>
      </c>
      <c r="I1834" s="36"/>
      <c r="J1834" s="36"/>
      <c r="K1834" s="36"/>
      <c r="L1834" s="36"/>
      <c r="M1834" s="36"/>
      <c r="N1834" s="36"/>
      <c r="O1834" s="36"/>
      <c r="P1834" s="36"/>
      <c r="Q1834" s="36"/>
      <c r="R1834" s="36"/>
      <c r="S1834" s="37">
        <f t="shared" si="103"/>
        <v>60000</v>
      </c>
      <c r="T1834" s="37">
        <f t="shared" ref="T1834:T1841" si="104">SUM(60000-S1834)</f>
        <v>0</v>
      </c>
      <c r="AM1834" s="250"/>
    </row>
    <row r="1835" spans="1:39" s="220" customFormat="1" ht="51.75" customHeight="1" x14ac:dyDescent="0.4">
      <c r="A1835" s="313" t="s">
        <v>445</v>
      </c>
      <c r="B1835" s="33" t="s">
        <v>28</v>
      </c>
      <c r="C1835" s="38" t="s">
        <v>52</v>
      </c>
      <c r="D1835" s="124"/>
      <c r="E1835" s="30">
        <v>2021</v>
      </c>
      <c r="F1835" s="251">
        <v>5000</v>
      </c>
      <c r="G1835" s="482">
        <v>60000</v>
      </c>
      <c r="H1835" s="482"/>
      <c r="I1835" s="482"/>
      <c r="J1835" s="482"/>
      <c r="K1835" s="482"/>
      <c r="L1835" s="482"/>
      <c r="M1835" s="482"/>
      <c r="N1835" s="482"/>
      <c r="O1835" s="482"/>
      <c r="P1835" s="482"/>
      <c r="Q1835" s="482"/>
      <c r="R1835" s="482"/>
      <c r="S1835" s="252">
        <f t="shared" si="103"/>
        <v>60000</v>
      </c>
      <c r="T1835" s="252">
        <f t="shared" si="104"/>
        <v>0</v>
      </c>
      <c r="AM1835" s="250"/>
    </row>
    <row r="1836" spans="1:39" s="523" customFormat="1" ht="51.75" customHeight="1" x14ac:dyDescent="0.35">
      <c r="A1836" s="313"/>
      <c r="B1836" s="523" t="s">
        <v>28</v>
      </c>
      <c r="C1836" s="125"/>
      <c r="D1836" s="126"/>
      <c r="E1836" s="660">
        <v>2020</v>
      </c>
      <c r="F1836" s="251">
        <v>5000</v>
      </c>
      <c r="G1836" s="535"/>
      <c r="H1836" s="535"/>
      <c r="I1836" s="535"/>
      <c r="J1836" s="535">
        <v>60000</v>
      </c>
      <c r="K1836" s="535"/>
      <c r="L1836" s="535"/>
      <c r="M1836" s="535"/>
      <c r="N1836" s="535"/>
      <c r="O1836" s="535"/>
      <c r="P1836" s="535"/>
      <c r="Q1836" s="535"/>
      <c r="R1836" s="535"/>
      <c r="S1836" s="252">
        <f t="shared" si="103"/>
        <v>60000</v>
      </c>
      <c r="T1836" s="257">
        <f t="shared" si="104"/>
        <v>0</v>
      </c>
      <c r="AM1836" s="525"/>
    </row>
    <row r="1837" spans="1:39" s="523" customFormat="1" ht="51.75" customHeight="1" x14ac:dyDescent="0.35">
      <c r="A1837" s="661"/>
      <c r="C1837" s="125"/>
      <c r="D1837" s="126"/>
      <c r="E1837" s="660">
        <v>2019</v>
      </c>
      <c r="F1837" s="251">
        <v>5000</v>
      </c>
      <c r="G1837" s="516">
        <v>5000</v>
      </c>
      <c r="H1837" s="516">
        <v>5000</v>
      </c>
      <c r="I1837" s="516">
        <v>5000</v>
      </c>
      <c r="J1837" s="516">
        <v>5000</v>
      </c>
      <c r="K1837" s="516">
        <v>5000</v>
      </c>
      <c r="L1837" s="516">
        <v>5000</v>
      </c>
      <c r="M1837" s="516">
        <v>5000</v>
      </c>
      <c r="N1837" s="516">
        <v>5000</v>
      </c>
      <c r="O1837" s="516">
        <v>5000</v>
      </c>
      <c r="P1837" s="516">
        <v>5000</v>
      </c>
      <c r="Q1837" s="516">
        <v>5000</v>
      </c>
      <c r="R1837" s="516">
        <v>5000</v>
      </c>
      <c r="S1837" s="252">
        <f t="shared" si="103"/>
        <v>60000</v>
      </c>
      <c r="T1837" s="257">
        <f t="shared" si="104"/>
        <v>0</v>
      </c>
      <c r="AM1837" s="525"/>
    </row>
    <row r="1838" spans="1:39" s="523" customFormat="1" ht="51.75" customHeight="1" x14ac:dyDescent="0.4">
      <c r="A1838" s="309"/>
      <c r="C1838" s="125"/>
      <c r="D1838" s="126"/>
      <c r="E1838" s="660">
        <v>2018</v>
      </c>
      <c r="F1838" s="251">
        <v>5000</v>
      </c>
      <c r="G1838" s="516">
        <v>5000</v>
      </c>
      <c r="H1838" s="516">
        <v>5000</v>
      </c>
      <c r="I1838" s="516">
        <v>5000</v>
      </c>
      <c r="J1838" s="516">
        <v>5000</v>
      </c>
      <c r="K1838" s="516">
        <v>5000</v>
      </c>
      <c r="L1838" s="516">
        <v>5000</v>
      </c>
      <c r="M1838" s="516">
        <v>5000</v>
      </c>
      <c r="N1838" s="516">
        <v>5000</v>
      </c>
      <c r="O1838" s="516">
        <v>5000</v>
      </c>
      <c r="P1838" s="516">
        <v>5000</v>
      </c>
      <c r="Q1838" s="516">
        <v>5000</v>
      </c>
      <c r="R1838" s="516">
        <v>5000</v>
      </c>
      <c r="S1838" s="252">
        <f t="shared" si="103"/>
        <v>60000</v>
      </c>
      <c r="T1838" s="257">
        <f t="shared" si="104"/>
        <v>0</v>
      </c>
      <c r="AM1838" s="525"/>
    </row>
    <row r="1839" spans="1:39" s="523" customFormat="1" ht="51.75" customHeight="1" x14ac:dyDescent="0.4">
      <c r="A1839" s="309"/>
      <c r="C1839" s="125"/>
      <c r="D1839" s="126"/>
      <c r="E1839" s="660">
        <v>2017</v>
      </c>
      <c r="F1839" s="251">
        <v>5000</v>
      </c>
      <c r="G1839" s="514">
        <v>5000</v>
      </c>
      <c r="H1839" s="514">
        <v>5000</v>
      </c>
      <c r="I1839" s="514">
        <v>5000</v>
      </c>
      <c r="J1839" s="514">
        <v>5000</v>
      </c>
      <c r="K1839" s="514">
        <v>5000</v>
      </c>
      <c r="L1839" s="514">
        <v>5000</v>
      </c>
      <c r="M1839" s="514">
        <v>5000</v>
      </c>
      <c r="N1839" s="514">
        <v>5000</v>
      </c>
      <c r="O1839" s="514">
        <v>5000</v>
      </c>
      <c r="P1839" s="514">
        <v>5000</v>
      </c>
      <c r="Q1839" s="514">
        <v>5000</v>
      </c>
      <c r="R1839" s="514">
        <v>5000</v>
      </c>
      <c r="S1839" s="252">
        <f t="shared" si="103"/>
        <v>60000</v>
      </c>
      <c r="T1839" s="257">
        <f t="shared" si="104"/>
        <v>0</v>
      </c>
      <c r="AM1839" s="525"/>
    </row>
    <row r="1840" spans="1:39" s="523" customFormat="1" ht="51.75" customHeight="1" x14ac:dyDescent="0.4">
      <c r="A1840" s="309"/>
      <c r="C1840" s="125"/>
      <c r="D1840" s="126"/>
      <c r="E1840" s="660">
        <v>2016</v>
      </c>
      <c r="F1840" s="251">
        <v>5000</v>
      </c>
      <c r="G1840" s="514">
        <v>5000</v>
      </c>
      <c r="H1840" s="514">
        <v>5000</v>
      </c>
      <c r="I1840" s="514">
        <v>5000</v>
      </c>
      <c r="J1840" s="514">
        <v>5000</v>
      </c>
      <c r="K1840" s="514">
        <v>5000</v>
      </c>
      <c r="L1840" s="514">
        <v>5000</v>
      </c>
      <c r="M1840" s="514">
        <v>5000</v>
      </c>
      <c r="N1840" s="514">
        <v>5000</v>
      </c>
      <c r="O1840" s="514">
        <v>5000</v>
      </c>
      <c r="P1840" s="514">
        <v>5000</v>
      </c>
      <c r="Q1840" s="514">
        <v>5000</v>
      </c>
      <c r="R1840" s="514">
        <v>5000</v>
      </c>
      <c r="S1840" s="252">
        <f t="shared" si="103"/>
        <v>60000</v>
      </c>
      <c r="T1840" s="257">
        <f t="shared" si="104"/>
        <v>0</v>
      </c>
      <c r="AM1840" s="525"/>
    </row>
    <row r="1841" spans="1:39" s="523" customFormat="1" ht="51.75" customHeight="1" x14ac:dyDescent="0.4">
      <c r="A1841" s="317"/>
      <c r="C1841" s="129"/>
      <c r="D1841" s="130"/>
      <c r="E1841" s="660">
        <v>2015</v>
      </c>
      <c r="F1841" s="251">
        <v>5000</v>
      </c>
      <c r="G1841" s="514">
        <v>5000</v>
      </c>
      <c r="H1841" s="514">
        <v>5000</v>
      </c>
      <c r="I1841" s="514">
        <v>5000</v>
      </c>
      <c r="J1841" s="514">
        <v>5000</v>
      </c>
      <c r="K1841" s="514">
        <v>5000</v>
      </c>
      <c r="L1841" s="514">
        <v>5000</v>
      </c>
      <c r="M1841" s="514">
        <v>5000</v>
      </c>
      <c r="N1841" s="514">
        <v>5000</v>
      </c>
      <c r="O1841" s="514">
        <v>5000</v>
      </c>
      <c r="P1841" s="514">
        <v>5000</v>
      </c>
      <c r="Q1841" s="514">
        <v>5000</v>
      </c>
      <c r="R1841" s="514">
        <v>5000</v>
      </c>
      <c r="S1841" s="252">
        <f t="shared" si="103"/>
        <v>60000</v>
      </c>
      <c r="T1841" s="257">
        <f t="shared" si="104"/>
        <v>0</v>
      </c>
      <c r="AM1841" s="525"/>
    </row>
    <row r="1842" spans="1:39" s="523" customFormat="1" ht="51.75" customHeight="1" thickBot="1" x14ac:dyDescent="0.45">
      <c r="A1842" s="253"/>
      <c r="C1842" s="658"/>
      <c r="D1842" s="659"/>
      <c r="E1842" s="526"/>
      <c r="F1842" s="265"/>
      <c r="G1842" s="489"/>
      <c r="H1842" s="489"/>
      <c r="I1842" s="489"/>
      <c r="J1842" s="489"/>
      <c r="K1842" s="489"/>
      <c r="L1842" s="489"/>
      <c r="M1842" s="489"/>
      <c r="N1842" s="489"/>
      <c r="O1842" s="489"/>
      <c r="P1842" s="489"/>
      <c r="Q1842" s="489"/>
      <c r="R1842" s="489"/>
      <c r="S1842" s="178">
        <f>SUM(S1831:S1841)</f>
        <v>720000</v>
      </c>
      <c r="T1842" s="87">
        <f>SUM(T1831:T1841)</f>
        <v>0</v>
      </c>
      <c r="AM1842" s="525"/>
    </row>
    <row r="1848" spans="1:39" s="374" customFormat="1" ht="51.75" customHeight="1" x14ac:dyDescent="0.4">
      <c r="A1848" s="241" t="s">
        <v>6</v>
      </c>
      <c r="B1848" s="368" t="s">
        <v>7</v>
      </c>
      <c r="C1848" s="369" t="s">
        <v>8</v>
      </c>
      <c r="D1848" s="518" t="s">
        <v>231</v>
      </c>
      <c r="E1848" s="371" t="s">
        <v>10</v>
      </c>
      <c r="F1848" s="372" t="s">
        <v>11</v>
      </c>
      <c r="G1848" s="476" t="s">
        <v>12</v>
      </c>
      <c r="H1848" s="476" t="s">
        <v>13</v>
      </c>
      <c r="I1848" s="476" t="s">
        <v>14</v>
      </c>
      <c r="J1848" s="476" t="s">
        <v>15</v>
      </c>
      <c r="K1848" s="476" t="s">
        <v>16</v>
      </c>
      <c r="L1848" s="476" t="s">
        <v>17</v>
      </c>
      <c r="M1848" s="476" t="s">
        <v>18</v>
      </c>
      <c r="N1848" s="476" t="s">
        <v>19</v>
      </c>
      <c r="O1848" s="476" t="s">
        <v>20</v>
      </c>
      <c r="P1848" s="476" t="s">
        <v>21</v>
      </c>
      <c r="Q1848" s="476" t="s">
        <v>22</v>
      </c>
      <c r="R1848" s="476" t="s">
        <v>23</v>
      </c>
      <c r="S1848" s="20" t="s">
        <v>24</v>
      </c>
      <c r="T1848" s="20" t="s">
        <v>25</v>
      </c>
      <c r="AM1848" s="375"/>
    </row>
    <row r="1849" spans="1:39" ht="51.75" customHeight="1" x14ac:dyDescent="0.25">
      <c r="A1849" s="653">
        <v>9</v>
      </c>
      <c r="B1849" s="17"/>
      <c r="C1849" s="519" t="s">
        <v>469</v>
      </c>
      <c r="D1849" s="19"/>
      <c r="E1849" s="26">
        <v>2025</v>
      </c>
      <c r="F1849" s="27">
        <v>10000</v>
      </c>
      <c r="G1849" s="476"/>
      <c r="H1849" s="22">
        <v>120000</v>
      </c>
      <c r="I1849" s="22"/>
      <c r="J1849" s="22"/>
      <c r="K1849" s="22"/>
      <c r="L1849" s="22"/>
      <c r="M1849" s="22"/>
      <c r="N1849" s="22"/>
      <c r="O1849" s="22"/>
      <c r="P1849" s="22"/>
      <c r="Q1849" s="22"/>
      <c r="R1849" s="22"/>
      <c r="S1849" s="64">
        <f t="shared" ref="S1849:S1859" si="105">SUM(G1849:R1849)</f>
        <v>120000</v>
      </c>
      <c r="T1849" s="29">
        <f>SUM(F1849*IF(E1849=_current_year,_current_month,12)-(S1849))</f>
        <v>0</v>
      </c>
    </row>
    <row r="1850" spans="1:39" ht="51.75" customHeight="1" x14ac:dyDescent="0.25">
      <c r="A1850" s="655"/>
      <c r="B1850" s="17"/>
      <c r="C1850" s="684"/>
      <c r="D1850" s="19"/>
      <c r="E1850" s="30">
        <v>2024</v>
      </c>
      <c r="F1850" s="27">
        <v>5000</v>
      </c>
      <c r="G1850" s="476">
        <v>60000</v>
      </c>
      <c r="H1850" s="22"/>
      <c r="I1850" s="22"/>
      <c r="J1850" s="22"/>
      <c r="K1850" s="22"/>
      <c r="L1850" s="22"/>
      <c r="M1850" s="22"/>
      <c r="N1850" s="22"/>
      <c r="O1850" s="22"/>
      <c r="P1850" s="22"/>
      <c r="Q1850" s="22"/>
      <c r="R1850" s="22"/>
      <c r="S1850" s="37">
        <f t="shared" si="105"/>
        <v>60000</v>
      </c>
      <c r="T1850" s="22">
        <f>SUM(F1850*IF(E1850=_current_year,_current_month,12)-(S1850))</f>
        <v>0</v>
      </c>
    </row>
    <row r="1851" spans="1:39" ht="51.75" customHeight="1" x14ac:dyDescent="0.25">
      <c r="A1851" s="655"/>
      <c r="B1851" s="17"/>
      <c r="C1851" s="684"/>
      <c r="D1851" s="19"/>
      <c r="E1851" s="30">
        <v>2023</v>
      </c>
      <c r="F1851" s="27">
        <v>5000</v>
      </c>
      <c r="G1851" s="476">
        <v>60000</v>
      </c>
      <c r="H1851" s="22"/>
      <c r="I1851" s="22"/>
      <c r="J1851" s="22"/>
      <c r="K1851" s="22"/>
      <c r="L1851" s="22"/>
      <c r="M1851" s="22"/>
      <c r="N1851" s="22"/>
      <c r="O1851" s="22"/>
      <c r="P1851" s="22"/>
      <c r="Q1851" s="22"/>
      <c r="R1851" s="22"/>
      <c r="S1851" s="37">
        <f t="shared" si="105"/>
        <v>60000</v>
      </c>
      <c r="T1851" s="22">
        <f>SUM(F1851*12)-(S1851)</f>
        <v>0</v>
      </c>
    </row>
    <row r="1852" spans="1:39" s="220" customFormat="1" ht="48" customHeight="1" x14ac:dyDescent="0.4">
      <c r="A1852" s="655"/>
      <c r="B1852" s="33" t="s">
        <v>28</v>
      </c>
      <c r="C1852" s="520"/>
      <c r="D1852" s="35"/>
      <c r="E1852" s="30">
        <v>2022</v>
      </c>
      <c r="F1852" s="251">
        <v>5000</v>
      </c>
      <c r="G1852" s="476">
        <v>60000</v>
      </c>
      <c r="H1852" s="36"/>
      <c r="I1852" s="36"/>
      <c r="J1852" s="36"/>
      <c r="K1852" s="36"/>
      <c r="L1852" s="36"/>
      <c r="M1852" s="36"/>
      <c r="N1852" s="36"/>
      <c r="O1852" s="36"/>
      <c r="P1852" s="36"/>
      <c r="Q1852" s="36"/>
      <c r="R1852" s="36"/>
      <c r="S1852" s="37">
        <f t="shared" si="105"/>
        <v>60000</v>
      </c>
      <c r="T1852" s="37">
        <f t="shared" ref="T1852:T1859" si="106">SUM(60000-S1852)</f>
        <v>0</v>
      </c>
      <c r="AM1852" s="250"/>
    </row>
    <row r="1853" spans="1:39" s="220" customFormat="1" ht="51.75" customHeight="1" x14ac:dyDescent="0.4">
      <c r="A1853" s="313" t="s">
        <v>445</v>
      </c>
      <c r="B1853" s="33" t="s">
        <v>28</v>
      </c>
      <c r="C1853" s="80" t="s">
        <v>52</v>
      </c>
      <c r="D1853" s="124"/>
      <c r="E1853" s="30">
        <v>2021</v>
      </c>
      <c r="F1853" s="251">
        <v>5000</v>
      </c>
      <c r="G1853" s="482"/>
      <c r="H1853" s="482">
        <v>60000</v>
      </c>
      <c r="I1853" s="482"/>
      <c r="J1853" s="482"/>
      <c r="K1853" s="482"/>
      <c r="L1853" s="482"/>
      <c r="M1853" s="482"/>
      <c r="N1853" s="482"/>
      <c r="O1853" s="482"/>
      <c r="P1853" s="482"/>
      <c r="Q1853" s="482"/>
      <c r="R1853" s="482"/>
      <c r="S1853" s="252">
        <f t="shared" si="105"/>
        <v>60000</v>
      </c>
      <c r="T1853" s="252">
        <f t="shared" si="106"/>
        <v>0</v>
      </c>
      <c r="AM1853" s="250"/>
    </row>
    <row r="1854" spans="1:39" s="523" customFormat="1" ht="51.75" customHeight="1" x14ac:dyDescent="0.35">
      <c r="A1854" s="313"/>
      <c r="B1854" s="523" t="s">
        <v>28</v>
      </c>
      <c r="C1854" s="82"/>
      <c r="D1854" s="126"/>
      <c r="E1854" s="660">
        <v>2020</v>
      </c>
      <c r="F1854" s="251">
        <v>5000</v>
      </c>
      <c r="G1854" s="535"/>
      <c r="H1854" s="535">
        <v>60000</v>
      </c>
      <c r="I1854" s="535"/>
      <c r="J1854" s="535"/>
      <c r="K1854" s="535"/>
      <c r="L1854" s="535"/>
      <c r="M1854" s="516"/>
      <c r="N1854" s="516"/>
      <c r="O1854" s="516"/>
      <c r="P1854" s="516"/>
      <c r="Q1854" s="516"/>
      <c r="R1854" s="516"/>
      <c r="S1854" s="252">
        <f t="shared" si="105"/>
        <v>60000</v>
      </c>
      <c r="T1854" s="257">
        <f t="shared" si="106"/>
        <v>0</v>
      </c>
      <c r="AM1854" s="525"/>
    </row>
    <row r="1855" spans="1:39" s="523" customFormat="1" ht="51.75" customHeight="1" x14ac:dyDescent="0.35">
      <c r="A1855" s="661"/>
      <c r="C1855" s="82"/>
      <c r="D1855" s="126"/>
      <c r="E1855" s="660">
        <v>2019</v>
      </c>
      <c r="F1855" s="251">
        <v>5000</v>
      </c>
      <c r="G1855" s="516">
        <v>5000</v>
      </c>
      <c r="H1855" s="516">
        <v>5000</v>
      </c>
      <c r="I1855" s="516">
        <v>5000</v>
      </c>
      <c r="J1855" s="516">
        <v>5000</v>
      </c>
      <c r="K1855" s="516">
        <v>5000</v>
      </c>
      <c r="L1855" s="516">
        <v>5000</v>
      </c>
      <c r="M1855" s="516">
        <v>5000</v>
      </c>
      <c r="N1855" s="516">
        <v>5000</v>
      </c>
      <c r="O1855" s="516">
        <v>5000</v>
      </c>
      <c r="P1855" s="516">
        <v>5000</v>
      </c>
      <c r="Q1855" s="516">
        <v>10000</v>
      </c>
      <c r="R1855" s="516">
        <v>20000</v>
      </c>
      <c r="S1855" s="252">
        <f t="shared" si="105"/>
        <v>80000</v>
      </c>
      <c r="T1855" s="257">
        <f t="shared" si="106"/>
        <v>-20000</v>
      </c>
      <c r="AM1855" s="525"/>
    </row>
    <row r="1856" spans="1:39" s="523" customFormat="1" ht="51.75" customHeight="1" x14ac:dyDescent="0.4">
      <c r="A1856" s="309"/>
      <c r="C1856" s="82"/>
      <c r="D1856" s="126"/>
      <c r="E1856" s="660">
        <v>2018</v>
      </c>
      <c r="F1856" s="251">
        <v>5000</v>
      </c>
      <c r="G1856" s="516">
        <v>5000</v>
      </c>
      <c r="H1856" s="516">
        <v>5000</v>
      </c>
      <c r="I1856" s="516">
        <v>5000</v>
      </c>
      <c r="J1856" s="516">
        <v>5000</v>
      </c>
      <c r="K1856" s="516">
        <v>5000</v>
      </c>
      <c r="L1856" s="516">
        <v>5000</v>
      </c>
      <c r="M1856" s="516">
        <v>5000</v>
      </c>
      <c r="N1856" s="516">
        <v>5000</v>
      </c>
      <c r="O1856" s="516">
        <v>5000</v>
      </c>
      <c r="P1856" s="516">
        <v>5000</v>
      </c>
      <c r="Q1856" s="516">
        <v>5000</v>
      </c>
      <c r="R1856" s="516">
        <v>5000</v>
      </c>
      <c r="S1856" s="252">
        <f t="shared" si="105"/>
        <v>60000</v>
      </c>
      <c r="T1856" s="257">
        <f t="shared" si="106"/>
        <v>0</v>
      </c>
      <c r="AM1856" s="525"/>
    </row>
    <row r="1857" spans="1:39" s="523" customFormat="1" ht="51.75" customHeight="1" x14ac:dyDescent="0.4">
      <c r="A1857" s="309"/>
      <c r="C1857" s="82"/>
      <c r="D1857" s="126"/>
      <c r="E1857" s="660">
        <v>2017</v>
      </c>
      <c r="F1857" s="251">
        <v>5000</v>
      </c>
      <c r="G1857" s="516">
        <v>5000</v>
      </c>
      <c r="H1857" s="516">
        <v>5000</v>
      </c>
      <c r="I1857" s="516">
        <v>5000</v>
      </c>
      <c r="J1857" s="516">
        <v>5000</v>
      </c>
      <c r="K1857" s="516">
        <v>5000</v>
      </c>
      <c r="L1857" s="516">
        <v>5000</v>
      </c>
      <c r="M1857" s="516">
        <v>5000</v>
      </c>
      <c r="N1857" s="516">
        <v>5000</v>
      </c>
      <c r="O1857" s="516">
        <v>5000</v>
      </c>
      <c r="P1857" s="516">
        <v>5000</v>
      </c>
      <c r="Q1857" s="516">
        <v>5000</v>
      </c>
      <c r="R1857" s="516">
        <v>5000</v>
      </c>
      <c r="S1857" s="252">
        <f t="shared" si="105"/>
        <v>60000</v>
      </c>
      <c r="T1857" s="257">
        <f t="shared" si="106"/>
        <v>0</v>
      </c>
      <c r="AM1857" s="525"/>
    </row>
    <row r="1858" spans="1:39" s="523" customFormat="1" ht="51.75" customHeight="1" x14ac:dyDescent="0.4">
      <c r="A1858" s="309"/>
      <c r="C1858" s="82"/>
      <c r="D1858" s="126"/>
      <c r="E1858" s="660">
        <v>2016</v>
      </c>
      <c r="F1858" s="251">
        <v>5000</v>
      </c>
      <c r="G1858" s="516">
        <v>5000</v>
      </c>
      <c r="H1858" s="516">
        <v>5000</v>
      </c>
      <c r="I1858" s="516">
        <v>5000</v>
      </c>
      <c r="J1858" s="516">
        <v>5000</v>
      </c>
      <c r="K1858" s="516">
        <v>5000</v>
      </c>
      <c r="L1858" s="516">
        <v>5000</v>
      </c>
      <c r="M1858" s="516">
        <v>5000</v>
      </c>
      <c r="N1858" s="516">
        <v>5000</v>
      </c>
      <c r="O1858" s="516">
        <v>5000</v>
      </c>
      <c r="P1858" s="516">
        <v>5000</v>
      </c>
      <c r="Q1858" s="516">
        <v>5000</v>
      </c>
      <c r="R1858" s="516">
        <v>5000</v>
      </c>
      <c r="S1858" s="252">
        <f t="shared" si="105"/>
        <v>60000</v>
      </c>
      <c r="T1858" s="257">
        <f t="shared" si="106"/>
        <v>0</v>
      </c>
      <c r="AM1858" s="525"/>
    </row>
    <row r="1859" spans="1:39" s="523" customFormat="1" ht="51.75" customHeight="1" x14ac:dyDescent="0.4">
      <c r="A1859" s="317"/>
      <c r="C1859" s="703"/>
      <c r="D1859" s="130"/>
      <c r="E1859" s="660">
        <v>2015</v>
      </c>
      <c r="F1859" s="251">
        <v>5000</v>
      </c>
      <c r="G1859" s="516">
        <v>5000</v>
      </c>
      <c r="H1859" s="516">
        <v>5000</v>
      </c>
      <c r="I1859" s="516">
        <v>5000</v>
      </c>
      <c r="J1859" s="516">
        <v>5000</v>
      </c>
      <c r="K1859" s="516">
        <v>5000</v>
      </c>
      <c r="L1859" s="516">
        <v>5000</v>
      </c>
      <c r="M1859" s="516">
        <v>5000</v>
      </c>
      <c r="N1859" s="516">
        <v>5000</v>
      </c>
      <c r="O1859" s="516">
        <v>5000</v>
      </c>
      <c r="P1859" s="516">
        <v>5000</v>
      </c>
      <c r="Q1859" s="516">
        <v>5000</v>
      </c>
      <c r="R1859" s="516">
        <v>5000</v>
      </c>
      <c r="S1859" s="252">
        <f t="shared" si="105"/>
        <v>60000</v>
      </c>
      <c r="T1859" s="257">
        <f t="shared" si="106"/>
        <v>0</v>
      </c>
      <c r="AM1859" s="525"/>
    </row>
    <row r="1860" spans="1:39" s="523" customFormat="1" ht="51.75" customHeight="1" thickBot="1" x14ac:dyDescent="0.45">
      <c r="A1860" s="253"/>
      <c r="C1860" s="658"/>
      <c r="D1860" s="659"/>
      <c r="E1860" s="526"/>
      <c r="F1860" s="265"/>
      <c r="G1860" s="489"/>
      <c r="H1860" s="489"/>
      <c r="I1860" s="489"/>
      <c r="J1860" s="489"/>
      <c r="K1860" s="489"/>
      <c r="L1860" s="489"/>
      <c r="M1860" s="489"/>
      <c r="N1860" s="489"/>
      <c r="O1860" s="489"/>
      <c r="P1860" s="489"/>
      <c r="Q1860" s="489"/>
      <c r="R1860" s="489"/>
      <c r="S1860" s="178">
        <f>SUM(S1849:S1859)</f>
        <v>740000</v>
      </c>
      <c r="T1860" s="87">
        <f>SUM(T1849:T1859)</f>
        <v>-20000</v>
      </c>
      <c r="AM1860" s="525"/>
    </row>
    <row r="1861" spans="1:39" s="523" customFormat="1" ht="51.75" customHeight="1" x14ac:dyDescent="0.45">
      <c r="A1861" s="253"/>
      <c r="C1861" s="658"/>
      <c r="D1861" s="659"/>
      <c r="F1861" s="253"/>
      <c r="G1861" s="512"/>
      <c r="H1861" s="512"/>
      <c r="I1861" s="512"/>
      <c r="J1861" s="512"/>
      <c r="K1861" s="512"/>
      <c r="L1861" s="512"/>
      <c r="M1861" s="512"/>
      <c r="N1861" s="512"/>
      <c r="O1861" s="512"/>
      <c r="P1861" s="512"/>
      <c r="Q1861" s="512"/>
      <c r="R1861" s="512"/>
      <c r="S1861" s="269"/>
      <c r="T1861" s="269"/>
      <c r="AM1861" s="525"/>
    </row>
    <row r="1862" spans="1:39" s="374" customFormat="1" ht="51.75" customHeight="1" x14ac:dyDescent="0.4">
      <c r="A1862" s="241" t="s">
        <v>6</v>
      </c>
      <c r="B1862" s="368" t="s">
        <v>7</v>
      </c>
      <c r="C1862" s="369" t="s">
        <v>8</v>
      </c>
      <c r="D1862" s="518" t="s">
        <v>231</v>
      </c>
      <c r="E1862" s="371" t="s">
        <v>10</v>
      </c>
      <c r="F1862" s="372" t="s">
        <v>11</v>
      </c>
      <c r="G1862" s="476" t="s">
        <v>12</v>
      </c>
      <c r="H1862" s="476" t="s">
        <v>13</v>
      </c>
      <c r="I1862" s="476" t="s">
        <v>14</v>
      </c>
      <c r="J1862" s="476" t="s">
        <v>15</v>
      </c>
      <c r="K1862" s="476" t="s">
        <v>16</v>
      </c>
      <c r="L1862" s="476" t="s">
        <v>17</v>
      </c>
      <c r="M1862" s="476" t="s">
        <v>18</v>
      </c>
      <c r="N1862" s="476" t="s">
        <v>19</v>
      </c>
      <c r="O1862" s="476" t="s">
        <v>20</v>
      </c>
      <c r="P1862" s="476" t="s">
        <v>21</v>
      </c>
      <c r="Q1862" s="476" t="s">
        <v>22</v>
      </c>
      <c r="R1862" s="476" t="s">
        <v>23</v>
      </c>
      <c r="S1862" s="20" t="s">
        <v>24</v>
      </c>
      <c r="T1862" s="20" t="s">
        <v>25</v>
      </c>
      <c r="AM1862" s="375"/>
    </row>
    <row r="1863" spans="1:39" ht="51.75" customHeight="1" x14ac:dyDescent="0.25">
      <c r="A1863" s="704" t="s">
        <v>470</v>
      </c>
      <c r="B1863" s="17"/>
      <c r="C1863" s="654" t="s">
        <v>471</v>
      </c>
      <c r="D1863" s="19"/>
      <c r="E1863" s="26">
        <v>2025</v>
      </c>
      <c r="F1863" s="251">
        <v>5000</v>
      </c>
      <c r="G1863" s="22"/>
      <c r="H1863" s="22"/>
      <c r="I1863" s="22"/>
      <c r="J1863" s="22"/>
      <c r="K1863" s="22"/>
      <c r="L1863" s="22"/>
      <c r="M1863" s="22">
        <v>40000</v>
      </c>
      <c r="N1863" s="22"/>
      <c r="O1863" s="22"/>
      <c r="P1863" s="22"/>
      <c r="Q1863" s="22"/>
      <c r="R1863" s="22"/>
      <c r="S1863" s="64">
        <f>SUM(G1863:R1863)</f>
        <v>40000</v>
      </c>
      <c r="T1863" s="29">
        <f>SUM(F1863*IF(E1863=_current_year,_current_month,12)-(S1863))</f>
        <v>20000</v>
      </c>
    </row>
    <row r="1864" spans="1:39" ht="51.75" customHeight="1" x14ac:dyDescent="0.25">
      <c r="A1864" s="705"/>
      <c r="B1864" s="17"/>
      <c r="C1864" s="656"/>
      <c r="D1864" s="19"/>
      <c r="E1864" s="30">
        <v>2024</v>
      </c>
      <c r="F1864" s="251">
        <v>3000</v>
      </c>
      <c r="G1864" s="22">
        <v>21000</v>
      </c>
      <c r="H1864" s="22"/>
      <c r="I1864" s="22"/>
      <c r="J1864" s="22"/>
      <c r="K1864" s="22"/>
      <c r="L1864" s="22"/>
      <c r="M1864" s="22"/>
      <c r="N1864" s="22"/>
      <c r="O1864" s="22"/>
      <c r="P1864" s="22"/>
      <c r="Q1864" s="22"/>
      <c r="R1864" s="22"/>
      <c r="S1864" s="37">
        <f>SUM(G1864:R1864)</f>
        <v>21000</v>
      </c>
      <c r="T1864" s="22">
        <f>SUM(F1864*IF(E1864=_current_year,_current_month,12)-(S1864))</f>
        <v>15000</v>
      </c>
    </row>
    <row r="1865" spans="1:39" ht="51.75" customHeight="1" x14ac:dyDescent="0.6">
      <c r="A1865" s="705"/>
      <c r="B1865" s="17"/>
      <c r="C1865" s="656"/>
      <c r="D1865" s="706"/>
      <c r="E1865" s="30">
        <v>2023</v>
      </c>
      <c r="F1865" s="251">
        <v>3000</v>
      </c>
      <c r="G1865" s="22"/>
      <c r="H1865" s="22"/>
      <c r="I1865" s="22"/>
      <c r="J1865" s="22"/>
      <c r="K1865" s="22"/>
      <c r="L1865" s="22"/>
      <c r="M1865" s="22"/>
      <c r="N1865" s="22"/>
      <c r="O1865" s="22"/>
      <c r="P1865" s="22"/>
      <c r="Q1865" s="22"/>
      <c r="S1865" s="37">
        <f>SUM(G1865:R1865)</f>
        <v>0</v>
      </c>
      <c r="T1865" s="22">
        <f>SUM(F1865*12)-(S1865)</f>
        <v>36000</v>
      </c>
    </row>
    <row r="1866" spans="1:39" s="220" customFormat="1" ht="48" customHeight="1" x14ac:dyDescent="0.4">
      <c r="A1866" s="705"/>
      <c r="B1866" s="33" t="s">
        <v>28</v>
      </c>
      <c r="C1866" s="657"/>
      <c r="D1866" s="202"/>
      <c r="E1866" s="30">
        <v>2022</v>
      </c>
      <c r="F1866" s="251">
        <v>3000</v>
      </c>
      <c r="G1866" s="150"/>
      <c r="H1866" s="150"/>
      <c r="I1866" s="150"/>
      <c r="J1866" s="150"/>
      <c r="K1866" s="707"/>
      <c r="L1866" s="150"/>
      <c r="M1866" s="150"/>
      <c r="N1866" s="150"/>
      <c r="O1866" s="150"/>
      <c r="P1866" s="150"/>
      <c r="Q1866" s="150"/>
      <c r="R1866" s="176">
        <v>20000</v>
      </c>
      <c r="S1866" s="252">
        <f>SUM(G1866:R1866)</f>
        <v>20000</v>
      </c>
      <c r="T1866" s="257">
        <f>SUM(0-S1866)</f>
        <v>-20000</v>
      </c>
      <c r="AM1866" s="250"/>
    </row>
    <row r="1867" spans="1:39" s="220" customFormat="1" ht="51.75" customHeight="1" x14ac:dyDescent="0.4">
      <c r="A1867" s="313" t="s">
        <v>445</v>
      </c>
      <c r="B1867" s="33" t="s">
        <v>28</v>
      </c>
      <c r="C1867" s="80" t="s">
        <v>52</v>
      </c>
      <c r="D1867" s="80"/>
      <c r="E1867" s="49"/>
      <c r="F1867" s="276"/>
      <c r="G1867" s="483"/>
      <c r="H1867" s="483"/>
      <c r="I1867" s="483"/>
      <c r="J1867" s="483"/>
      <c r="K1867" s="483"/>
      <c r="L1867" s="483"/>
      <c r="M1867" s="483"/>
      <c r="N1867" s="49"/>
      <c r="O1867" s="483"/>
      <c r="P1867" s="483"/>
      <c r="Q1867" s="483"/>
      <c r="R1867" s="483"/>
      <c r="S1867" s="275"/>
      <c r="T1867" s="275"/>
      <c r="AM1867" s="250"/>
    </row>
    <row r="1868" spans="1:39" s="523" customFormat="1" ht="51.75" customHeight="1" x14ac:dyDescent="0.35">
      <c r="A1868" s="313"/>
      <c r="B1868" s="523" t="s">
        <v>472</v>
      </c>
      <c r="C1868" s="82"/>
      <c r="D1868" s="82"/>
      <c r="E1868" s="526"/>
      <c r="F1868" s="276"/>
      <c r="G1868" s="708"/>
      <c r="H1868" s="708"/>
      <c r="I1868" s="708"/>
      <c r="J1868" s="484"/>
      <c r="K1868" s="484"/>
      <c r="L1868" s="484"/>
      <c r="M1868" s="484"/>
      <c r="N1868" s="484"/>
      <c r="O1868" s="484"/>
      <c r="P1868" s="484"/>
      <c r="Q1868" s="484"/>
      <c r="R1868" s="484"/>
      <c r="S1868" s="286"/>
      <c r="T1868" s="286"/>
      <c r="AM1868" s="525"/>
    </row>
    <row r="1869" spans="1:39" s="523" customFormat="1" ht="51.75" customHeight="1" thickBot="1" x14ac:dyDescent="0.45">
      <c r="A1869" s="253"/>
      <c r="C1869" s="82"/>
      <c r="D1869" s="82"/>
      <c r="E1869" s="526"/>
      <c r="F1869" s="265"/>
      <c r="G1869" s="489"/>
      <c r="H1869" s="489"/>
      <c r="I1869" s="489"/>
      <c r="J1869" s="489"/>
      <c r="K1869" s="489"/>
      <c r="L1869" s="489"/>
      <c r="M1869" s="489"/>
      <c r="N1869" s="489"/>
      <c r="O1869" s="489"/>
      <c r="P1869" s="489"/>
      <c r="Q1869" s="489"/>
      <c r="R1869" s="489"/>
      <c r="S1869" s="178">
        <f>SUM(S1863:S1868)</f>
        <v>81000</v>
      </c>
      <c r="T1869" s="87">
        <f>SUM(T1863:T1868)</f>
        <v>51000</v>
      </c>
      <c r="AM1869" s="525"/>
    </row>
    <row r="1870" spans="1:39" s="523" customFormat="1" ht="51.75" customHeight="1" x14ac:dyDescent="0.45">
      <c r="A1870" s="253"/>
      <c r="C1870" s="658"/>
      <c r="D1870" s="659"/>
      <c r="F1870" s="253"/>
      <c r="G1870" s="512"/>
      <c r="H1870" s="512"/>
      <c r="I1870" s="512"/>
      <c r="J1870" s="512"/>
      <c r="K1870" s="512"/>
      <c r="L1870" s="512"/>
      <c r="M1870" s="512"/>
      <c r="N1870" s="512"/>
      <c r="O1870" s="512"/>
      <c r="P1870" s="512"/>
      <c r="Q1870" s="512"/>
      <c r="R1870" s="512"/>
      <c r="S1870" s="269"/>
      <c r="T1870" s="269"/>
      <c r="AM1870" s="525"/>
    </row>
    <row r="1871" spans="1:39" s="374" customFormat="1" ht="51.75" customHeight="1" x14ac:dyDescent="0.4">
      <c r="A1871" s="241" t="s">
        <v>6</v>
      </c>
      <c r="B1871" s="368" t="s">
        <v>7</v>
      </c>
      <c r="C1871" s="369" t="s">
        <v>8</v>
      </c>
      <c r="D1871" s="518" t="s">
        <v>231</v>
      </c>
      <c r="E1871" s="371" t="s">
        <v>10</v>
      </c>
      <c r="F1871" s="372" t="s">
        <v>11</v>
      </c>
      <c r="G1871" s="476" t="s">
        <v>12</v>
      </c>
      <c r="H1871" s="476" t="s">
        <v>13</v>
      </c>
      <c r="I1871" s="476" t="s">
        <v>14</v>
      </c>
      <c r="J1871" s="476" t="s">
        <v>15</v>
      </c>
      <c r="K1871" s="476" t="s">
        <v>16</v>
      </c>
      <c r="L1871" s="476" t="s">
        <v>17</v>
      </c>
      <c r="M1871" s="476" t="s">
        <v>18</v>
      </c>
      <c r="N1871" s="476" t="s">
        <v>19</v>
      </c>
      <c r="O1871" s="476" t="s">
        <v>20</v>
      </c>
      <c r="P1871" s="476" t="s">
        <v>21</v>
      </c>
      <c r="Q1871" s="476" t="s">
        <v>22</v>
      </c>
      <c r="R1871" s="476" t="s">
        <v>23</v>
      </c>
      <c r="S1871" s="20" t="s">
        <v>24</v>
      </c>
      <c r="T1871" s="20" t="s">
        <v>25</v>
      </c>
      <c r="AM1871" s="375"/>
    </row>
    <row r="1872" spans="1:39" ht="51.75" customHeight="1" x14ac:dyDescent="0.25">
      <c r="A1872" s="704" t="s">
        <v>473</v>
      </c>
      <c r="B1872" s="17"/>
      <c r="C1872" s="519" t="s">
        <v>474</v>
      </c>
      <c r="D1872" s="19"/>
      <c r="E1872" s="26">
        <v>2025</v>
      </c>
      <c r="F1872" s="27">
        <v>5000</v>
      </c>
      <c r="G1872" s="22"/>
      <c r="H1872" s="22"/>
      <c r="I1872" s="36">
        <v>15000</v>
      </c>
      <c r="J1872" s="22"/>
      <c r="K1872" s="22">
        <v>15000</v>
      </c>
      <c r="L1872" s="22"/>
      <c r="M1872" s="22"/>
      <c r="N1872" s="22"/>
      <c r="O1872" s="22">
        <v>30000</v>
      </c>
      <c r="P1872" s="22"/>
      <c r="Q1872" s="22"/>
      <c r="R1872" s="22"/>
      <c r="S1872" s="64">
        <f t="shared" ref="S1872:S1882" si="107">SUM(G1872:R1872)</f>
        <v>60000</v>
      </c>
      <c r="T1872" s="29">
        <f>SUM(F1872*IF(E1872=_current_year,_current_month,12)-(S1872))</f>
        <v>0</v>
      </c>
    </row>
    <row r="1873" spans="1:39" ht="51.75" customHeight="1" x14ac:dyDescent="0.6">
      <c r="A1873" s="705"/>
      <c r="B1873" s="17"/>
      <c r="C1873" s="684"/>
      <c r="D1873" s="19"/>
      <c r="E1873" s="30">
        <v>2024</v>
      </c>
      <c r="F1873" s="27">
        <v>5000</v>
      </c>
      <c r="G1873" s="22"/>
      <c r="H1873" s="22"/>
      <c r="I1873" s="189"/>
      <c r="J1873" s="22"/>
      <c r="K1873" s="22"/>
      <c r="L1873" s="22"/>
      <c r="M1873" s="22"/>
      <c r="N1873" s="425">
        <v>60000</v>
      </c>
      <c r="O1873" s="22"/>
      <c r="P1873" s="22"/>
      <c r="Q1873" s="22"/>
      <c r="R1873" s="22"/>
      <c r="S1873" s="37">
        <f t="shared" si="107"/>
        <v>60000</v>
      </c>
      <c r="T1873" s="22">
        <f>SUM(F1873*IF(E1873=_current_year,_current_month,12)-(S1873))</f>
        <v>0</v>
      </c>
    </row>
    <row r="1874" spans="1:39" ht="51.75" customHeight="1" x14ac:dyDescent="0.6">
      <c r="A1874" s="705"/>
      <c r="B1874" s="17"/>
      <c r="C1874" s="520"/>
      <c r="D1874" s="19"/>
      <c r="E1874" s="30">
        <v>2023</v>
      </c>
      <c r="F1874" s="27">
        <v>5000</v>
      </c>
      <c r="G1874" s="22"/>
      <c r="H1874" s="22"/>
      <c r="I1874" s="189"/>
      <c r="J1874" s="22"/>
      <c r="K1874" s="22"/>
      <c r="L1874" s="22">
        <v>60000</v>
      </c>
      <c r="M1874" s="22"/>
      <c r="N1874" s="22"/>
      <c r="O1874" s="22"/>
      <c r="P1874" s="22"/>
      <c r="Q1874" s="22"/>
      <c r="R1874" s="22"/>
      <c r="S1874" s="37">
        <f t="shared" si="107"/>
        <v>60000</v>
      </c>
      <c r="T1874" s="22">
        <f>SUM(F1874*IF(E1874=_current_year,_current_month,12)-(S1874))</f>
        <v>0</v>
      </c>
    </row>
    <row r="1875" spans="1:39" s="220" customFormat="1" ht="48" customHeight="1" x14ac:dyDescent="0.4">
      <c r="A1875" s="705"/>
      <c r="B1875" s="33" t="s">
        <v>28</v>
      </c>
      <c r="C1875" s="142" t="s">
        <v>475</v>
      </c>
      <c r="D1875" s="35"/>
      <c r="E1875" s="30">
        <v>2022</v>
      </c>
      <c r="F1875" s="251">
        <v>5000</v>
      </c>
      <c r="G1875" s="36"/>
      <c r="H1875" s="36">
        <v>30000</v>
      </c>
      <c r="I1875" s="36"/>
      <c r="J1875" s="36"/>
      <c r="K1875" s="36"/>
      <c r="L1875" s="36"/>
      <c r="M1875" s="36"/>
      <c r="N1875" s="36"/>
      <c r="O1875" s="36">
        <v>30000</v>
      </c>
      <c r="P1875" s="36"/>
      <c r="Q1875" s="36"/>
      <c r="R1875" s="36"/>
      <c r="S1875" s="37">
        <f t="shared" si="107"/>
        <v>60000</v>
      </c>
      <c r="T1875" s="37">
        <f t="shared" ref="T1875:T1882" si="108">SUM(60000-S1875)</f>
        <v>0</v>
      </c>
      <c r="AM1875" s="250"/>
    </row>
    <row r="1876" spans="1:39" s="220" customFormat="1" ht="51.75" customHeight="1" x14ac:dyDescent="0.4">
      <c r="A1876" s="313" t="s">
        <v>445</v>
      </c>
      <c r="B1876" s="33" t="s">
        <v>28</v>
      </c>
      <c r="C1876" s="80" t="s">
        <v>52</v>
      </c>
      <c r="D1876" s="124"/>
      <c r="E1876" s="30">
        <v>2021</v>
      </c>
      <c r="F1876" s="251">
        <v>5000</v>
      </c>
      <c r="G1876" s="482"/>
      <c r="I1876" s="482"/>
      <c r="J1876" s="482"/>
      <c r="K1876" s="482"/>
      <c r="L1876" s="482"/>
      <c r="M1876" s="482"/>
      <c r="N1876" s="482"/>
      <c r="O1876" s="482"/>
      <c r="P1876" s="482">
        <v>50000</v>
      </c>
      <c r="Q1876" s="482"/>
      <c r="R1876" s="482"/>
      <c r="S1876" s="252">
        <f t="shared" si="107"/>
        <v>50000</v>
      </c>
      <c r="T1876" s="252">
        <f t="shared" si="108"/>
        <v>10000</v>
      </c>
      <c r="AM1876" s="250"/>
    </row>
    <row r="1877" spans="1:39" s="523" customFormat="1" ht="51.75" customHeight="1" x14ac:dyDescent="0.4">
      <c r="A1877" s="313"/>
      <c r="B1877" s="523" t="s">
        <v>28</v>
      </c>
      <c r="C1877" s="82"/>
      <c r="D1877" s="126"/>
      <c r="E1877" s="660">
        <v>2020</v>
      </c>
      <c r="F1877" s="251">
        <v>5000</v>
      </c>
      <c r="G1877" s="535"/>
      <c r="H1877" s="220"/>
      <c r="I1877" s="535"/>
      <c r="J1877" s="535"/>
      <c r="K1877" s="535">
        <v>45000</v>
      </c>
      <c r="L1877" s="535"/>
      <c r="M1877" s="535"/>
      <c r="N1877" s="535">
        <v>15000</v>
      </c>
      <c r="O1877" s="535"/>
      <c r="P1877" s="535"/>
      <c r="Q1877" s="535"/>
      <c r="R1877" s="535"/>
      <c r="S1877" s="252">
        <f t="shared" si="107"/>
        <v>60000</v>
      </c>
      <c r="T1877" s="257">
        <f t="shared" si="108"/>
        <v>0</v>
      </c>
      <c r="AM1877" s="525"/>
    </row>
    <row r="1878" spans="1:39" s="523" customFormat="1" ht="51.75" customHeight="1" x14ac:dyDescent="0.35">
      <c r="A1878" s="709"/>
      <c r="C1878" s="82"/>
      <c r="D1878" s="126"/>
      <c r="E1878" s="660">
        <v>2019</v>
      </c>
      <c r="F1878" s="251">
        <v>5000</v>
      </c>
      <c r="G1878" s="514">
        <v>5000</v>
      </c>
      <c r="H1878" s="514">
        <v>5000</v>
      </c>
      <c r="I1878" s="514">
        <v>5000</v>
      </c>
      <c r="J1878" s="514">
        <v>5000</v>
      </c>
      <c r="K1878" s="514">
        <v>5000</v>
      </c>
      <c r="L1878" s="514">
        <v>5000</v>
      </c>
      <c r="M1878" s="514">
        <v>5000</v>
      </c>
      <c r="N1878" s="514">
        <v>5000</v>
      </c>
      <c r="O1878" s="514">
        <v>5000</v>
      </c>
      <c r="P1878" s="514">
        <f>15000+5000</f>
        <v>20000</v>
      </c>
      <c r="Q1878" s="514">
        <v>5000</v>
      </c>
      <c r="R1878" s="535"/>
      <c r="S1878" s="252">
        <f t="shared" si="107"/>
        <v>70000</v>
      </c>
      <c r="T1878" s="257">
        <f t="shared" si="108"/>
        <v>-10000</v>
      </c>
      <c r="AM1878" s="525"/>
    </row>
    <row r="1879" spans="1:39" s="523" customFormat="1" ht="51.75" customHeight="1" x14ac:dyDescent="0.35">
      <c r="A1879" s="709"/>
      <c r="C1879" s="82"/>
      <c r="D1879" s="126"/>
      <c r="E1879" s="660">
        <v>2018</v>
      </c>
      <c r="F1879" s="251">
        <v>5000</v>
      </c>
      <c r="G1879" s="516">
        <v>5000</v>
      </c>
      <c r="H1879" s="516">
        <v>5000</v>
      </c>
      <c r="I1879" s="516">
        <v>5000</v>
      </c>
      <c r="J1879" s="516">
        <v>5000</v>
      </c>
      <c r="K1879" s="516">
        <v>5000</v>
      </c>
      <c r="L1879" s="516">
        <v>5000</v>
      </c>
      <c r="M1879" s="516">
        <v>5000</v>
      </c>
      <c r="N1879" s="516">
        <v>5000</v>
      </c>
      <c r="O1879" s="516">
        <v>5000</v>
      </c>
      <c r="P1879" s="516">
        <v>5000</v>
      </c>
      <c r="Q1879" s="516">
        <v>5000</v>
      </c>
      <c r="R1879" s="516">
        <v>5000</v>
      </c>
      <c r="S1879" s="252">
        <f t="shared" si="107"/>
        <v>60000</v>
      </c>
      <c r="T1879" s="257">
        <f t="shared" si="108"/>
        <v>0</v>
      </c>
      <c r="AM1879" s="525"/>
    </row>
    <row r="1880" spans="1:39" s="523" customFormat="1" ht="51.75" customHeight="1" x14ac:dyDescent="0.4">
      <c r="A1880" s="309"/>
      <c r="C1880" s="82"/>
      <c r="D1880" s="126"/>
      <c r="E1880" s="660">
        <v>2017</v>
      </c>
      <c r="F1880" s="251">
        <v>5000</v>
      </c>
      <c r="G1880" s="516">
        <v>5000</v>
      </c>
      <c r="H1880" s="516">
        <v>5000</v>
      </c>
      <c r="I1880" s="516">
        <v>5000</v>
      </c>
      <c r="J1880" s="516">
        <v>5000</v>
      </c>
      <c r="K1880" s="516">
        <v>5000</v>
      </c>
      <c r="L1880" s="516">
        <v>5000</v>
      </c>
      <c r="M1880" s="516">
        <v>5000</v>
      </c>
      <c r="N1880" s="516">
        <v>5000</v>
      </c>
      <c r="O1880" s="516">
        <v>5000</v>
      </c>
      <c r="P1880" s="516">
        <v>5000</v>
      </c>
      <c r="Q1880" s="516">
        <v>5000</v>
      </c>
      <c r="R1880" s="516">
        <v>5000</v>
      </c>
      <c r="S1880" s="252">
        <f t="shared" si="107"/>
        <v>60000</v>
      </c>
      <c r="T1880" s="257">
        <f t="shared" si="108"/>
        <v>0</v>
      </c>
      <c r="AM1880" s="525"/>
    </row>
    <row r="1881" spans="1:39" s="523" customFormat="1" ht="51.75" customHeight="1" x14ac:dyDescent="0.4">
      <c r="A1881" s="309"/>
      <c r="C1881" s="82"/>
      <c r="D1881" s="126"/>
      <c r="E1881" s="660">
        <v>2016</v>
      </c>
      <c r="F1881" s="251">
        <v>5000</v>
      </c>
      <c r="G1881" s="516">
        <v>5000</v>
      </c>
      <c r="H1881" s="516">
        <v>5000</v>
      </c>
      <c r="I1881" s="516">
        <v>5000</v>
      </c>
      <c r="J1881" s="516">
        <v>5000</v>
      </c>
      <c r="K1881" s="516">
        <v>5000</v>
      </c>
      <c r="L1881" s="516">
        <v>5000</v>
      </c>
      <c r="M1881" s="516">
        <v>5000</v>
      </c>
      <c r="N1881" s="516">
        <v>5000</v>
      </c>
      <c r="O1881" s="516">
        <v>5000</v>
      </c>
      <c r="P1881" s="516">
        <v>5000</v>
      </c>
      <c r="Q1881" s="516">
        <v>5000</v>
      </c>
      <c r="R1881" s="516">
        <v>5000</v>
      </c>
      <c r="S1881" s="252">
        <f t="shared" si="107"/>
        <v>60000</v>
      </c>
      <c r="T1881" s="257">
        <f t="shared" si="108"/>
        <v>0</v>
      </c>
      <c r="AM1881" s="525"/>
    </row>
    <row r="1882" spans="1:39" s="523" customFormat="1" ht="51.75" customHeight="1" x14ac:dyDescent="0.4">
      <c r="A1882" s="317"/>
      <c r="C1882" s="703"/>
      <c r="D1882" s="130"/>
      <c r="E1882" s="660">
        <v>2015</v>
      </c>
      <c r="F1882" s="251">
        <v>5000</v>
      </c>
      <c r="G1882" s="516">
        <v>5000</v>
      </c>
      <c r="H1882" s="516">
        <v>5000</v>
      </c>
      <c r="I1882" s="516">
        <v>5000</v>
      </c>
      <c r="J1882" s="516">
        <v>5000</v>
      </c>
      <c r="K1882" s="516">
        <v>5000</v>
      </c>
      <c r="L1882" s="516">
        <v>5000</v>
      </c>
      <c r="M1882" s="516">
        <v>5000</v>
      </c>
      <c r="N1882" s="516">
        <v>5000</v>
      </c>
      <c r="O1882" s="516">
        <v>5000</v>
      </c>
      <c r="P1882" s="516">
        <v>5000</v>
      </c>
      <c r="Q1882" s="516">
        <v>5000</v>
      </c>
      <c r="R1882" s="516">
        <v>5000</v>
      </c>
      <c r="S1882" s="252">
        <f t="shared" si="107"/>
        <v>60000</v>
      </c>
      <c r="T1882" s="257">
        <f t="shared" si="108"/>
        <v>0</v>
      </c>
      <c r="AM1882" s="525"/>
    </row>
    <row r="1883" spans="1:39" s="523" customFormat="1" ht="51.75" customHeight="1" thickBot="1" x14ac:dyDescent="0.45">
      <c r="A1883" s="253"/>
      <c r="C1883" s="658"/>
      <c r="D1883" s="659"/>
      <c r="E1883" s="526"/>
      <c r="F1883" s="265"/>
      <c r="G1883" s="489"/>
      <c r="H1883" s="489"/>
      <c r="I1883" s="489"/>
      <c r="J1883" s="489"/>
      <c r="K1883" s="489"/>
      <c r="L1883" s="489"/>
      <c r="M1883" s="489"/>
      <c r="N1883" s="489"/>
      <c r="O1883" s="489"/>
      <c r="P1883" s="489"/>
      <c r="Q1883" s="489"/>
      <c r="R1883" s="489"/>
      <c r="S1883" s="178">
        <f>SUM(S1872:S1882)</f>
        <v>660000</v>
      </c>
      <c r="T1883" s="87">
        <f>SUM(T1872:T1882)</f>
        <v>0</v>
      </c>
      <c r="AM1883" s="525"/>
    </row>
    <row r="1884" spans="1:39" s="523" customFormat="1" ht="51.75" customHeight="1" x14ac:dyDescent="0.4">
      <c r="A1884" s="253"/>
      <c r="C1884" s="658"/>
      <c r="D1884" s="659"/>
      <c r="E1884" s="526"/>
      <c r="F1884" s="264"/>
      <c r="G1884" s="484"/>
      <c r="H1884" s="484"/>
      <c r="I1884" s="484"/>
      <c r="J1884" s="484"/>
      <c r="K1884" s="484"/>
      <c r="L1884" s="484"/>
      <c r="M1884" s="484"/>
      <c r="N1884" s="484"/>
      <c r="O1884" s="484"/>
      <c r="P1884" s="484"/>
      <c r="Q1884" s="484"/>
      <c r="R1884" s="484"/>
      <c r="S1884" s="517"/>
      <c r="T1884" s="517"/>
      <c r="AM1884" s="525"/>
    </row>
    <row r="1885" spans="1:39" s="523" customFormat="1" ht="51.75" customHeight="1" x14ac:dyDescent="0.4">
      <c r="A1885" s="253"/>
      <c r="C1885" s="658"/>
      <c r="D1885" s="659"/>
      <c r="E1885" s="526"/>
      <c r="F1885" s="264"/>
      <c r="G1885" s="484"/>
      <c r="H1885" s="484"/>
      <c r="I1885" s="484"/>
      <c r="J1885" s="484"/>
      <c r="K1885" s="484"/>
      <c r="L1885" s="484"/>
      <c r="M1885" s="484"/>
      <c r="N1885" s="484"/>
      <c r="O1885" s="484"/>
      <c r="P1885" s="484"/>
      <c r="Q1885" s="484"/>
      <c r="R1885" s="484"/>
      <c r="S1885" s="286"/>
      <c r="T1885" s="286"/>
      <c r="AM1885" s="525"/>
    </row>
    <row r="1886" spans="1:39" s="374" customFormat="1" ht="51.75" customHeight="1" x14ac:dyDescent="0.4">
      <c r="A1886" s="241" t="s">
        <v>6</v>
      </c>
      <c r="B1886" s="368" t="s">
        <v>7</v>
      </c>
      <c r="C1886" s="369" t="s">
        <v>8</v>
      </c>
      <c r="D1886" s="518" t="s">
        <v>231</v>
      </c>
      <c r="E1886" s="371" t="s">
        <v>10</v>
      </c>
      <c r="F1886" s="372" t="s">
        <v>11</v>
      </c>
      <c r="G1886" s="476" t="s">
        <v>12</v>
      </c>
      <c r="H1886" s="476" t="s">
        <v>13</v>
      </c>
      <c r="I1886" s="476" t="s">
        <v>14</v>
      </c>
      <c r="J1886" s="476" t="s">
        <v>15</v>
      </c>
      <c r="K1886" s="476" t="s">
        <v>16</v>
      </c>
      <c r="L1886" s="476" t="s">
        <v>17</v>
      </c>
      <c r="M1886" s="476" t="s">
        <v>18</v>
      </c>
      <c r="N1886" s="476" t="s">
        <v>19</v>
      </c>
      <c r="O1886" s="476" t="s">
        <v>20</v>
      </c>
      <c r="P1886" s="476" t="s">
        <v>21</v>
      </c>
      <c r="Q1886" s="476" t="s">
        <v>22</v>
      </c>
      <c r="R1886" s="476" t="s">
        <v>23</v>
      </c>
      <c r="S1886" s="20" t="s">
        <v>24</v>
      </c>
      <c r="T1886" s="20" t="s">
        <v>25</v>
      </c>
      <c r="AM1886" s="375"/>
    </row>
    <row r="1887" spans="1:39" ht="51.75" customHeight="1" x14ac:dyDescent="0.25">
      <c r="A1887" s="704" t="s">
        <v>476</v>
      </c>
      <c r="B1887" s="17"/>
      <c r="C1887" s="519" t="s">
        <v>477</v>
      </c>
      <c r="D1887" s="19"/>
      <c r="E1887" s="26">
        <v>2025</v>
      </c>
      <c r="F1887" s="251">
        <v>5000</v>
      </c>
      <c r="G1887" s="22"/>
      <c r="H1887" s="22"/>
      <c r="I1887" s="22"/>
      <c r="J1887" s="22"/>
      <c r="K1887" s="22"/>
      <c r="L1887" s="22"/>
      <c r="M1887" s="22"/>
      <c r="N1887" s="22"/>
      <c r="O1887" s="22"/>
      <c r="P1887" s="22"/>
      <c r="Q1887" s="22"/>
      <c r="R1887" s="22"/>
      <c r="S1887" s="64">
        <f>SUM(G1887:R1887)</f>
        <v>0</v>
      </c>
      <c r="T1887" s="29">
        <f>SUM(F1887*IF(E1887=_current_year,_current_month,12)-(S1887))</f>
        <v>60000</v>
      </c>
    </row>
    <row r="1888" spans="1:39" ht="51.75" customHeight="1" x14ac:dyDescent="0.25">
      <c r="A1888" s="705"/>
      <c r="B1888" s="17"/>
      <c r="C1888" s="684"/>
      <c r="D1888" s="19"/>
      <c r="E1888" s="30">
        <v>2024</v>
      </c>
      <c r="F1888" s="251">
        <v>3000</v>
      </c>
      <c r="G1888" s="22"/>
      <c r="H1888" s="22">
        <v>40000</v>
      </c>
      <c r="I1888" s="22"/>
      <c r="J1888" s="22"/>
      <c r="K1888" s="22"/>
      <c r="L1888" s="22"/>
      <c r="M1888" s="22"/>
      <c r="N1888" s="22"/>
      <c r="O1888" s="22"/>
      <c r="P1888" s="22"/>
      <c r="Q1888" s="22"/>
      <c r="R1888" s="22"/>
      <c r="S1888" s="37">
        <f>SUM(G1888:R1888)</f>
        <v>40000</v>
      </c>
      <c r="T1888" s="22">
        <f>SUM(F1888*IF(E1888=_current_year,_current_month,12)-(S1888))</f>
        <v>-4000</v>
      </c>
    </row>
    <row r="1889" spans="1:39" ht="51.75" customHeight="1" x14ac:dyDescent="0.25">
      <c r="A1889" s="705"/>
      <c r="B1889" s="17"/>
      <c r="C1889" s="684"/>
      <c r="D1889" s="19"/>
      <c r="E1889" s="30">
        <v>2023</v>
      </c>
      <c r="F1889" s="251">
        <v>3000</v>
      </c>
      <c r="G1889" s="22"/>
      <c r="H1889" s="22"/>
      <c r="I1889" s="22"/>
      <c r="J1889" s="22">
        <v>15000</v>
      </c>
      <c r="K1889" s="22"/>
      <c r="L1889" s="22"/>
      <c r="M1889" s="22"/>
      <c r="N1889" s="22"/>
      <c r="O1889" s="22"/>
      <c r="P1889" s="22"/>
      <c r="Q1889" s="22"/>
      <c r="R1889" s="22"/>
      <c r="S1889" s="37">
        <f>SUM(G1889:R1889)</f>
        <v>15000</v>
      </c>
      <c r="T1889" s="22">
        <f>SUM(F1889*IF(E1889=_current_year,_current_month,12)-(S1889))</f>
        <v>21000</v>
      </c>
    </row>
    <row r="1890" spans="1:39" s="220" customFormat="1" ht="48" customHeight="1" x14ac:dyDescent="0.4">
      <c r="A1890" s="705"/>
      <c r="B1890" s="33" t="s">
        <v>28</v>
      </c>
      <c r="C1890" s="520"/>
      <c r="D1890" s="35"/>
      <c r="E1890" s="30">
        <v>2022</v>
      </c>
      <c r="F1890" s="251">
        <v>3000</v>
      </c>
      <c r="G1890" s="36"/>
      <c r="H1890" s="36"/>
      <c r="I1890" s="36"/>
      <c r="J1890" s="36"/>
      <c r="K1890" s="36"/>
      <c r="L1890" s="36"/>
      <c r="M1890" s="36"/>
      <c r="N1890" s="36"/>
      <c r="O1890" s="36"/>
      <c r="P1890" s="36"/>
      <c r="Q1890" s="36"/>
      <c r="R1890" s="36"/>
      <c r="S1890" s="37">
        <f>SUM(G1890:R1890)</f>
        <v>0</v>
      </c>
      <c r="T1890" s="37">
        <f>SUM(36000-S1890)</f>
        <v>36000</v>
      </c>
      <c r="AM1890" s="250"/>
    </row>
    <row r="1891" spans="1:39" s="220" customFormat="1" ht="51.75" customHeight="1" x14ac:dyDescent="0.4">
      <c r="A1891" s="313" t="s">
        <v>445</v>
      </c>
      <c r="B1891" s="33" t="s">
        <v>28</v>
      </c>
      <c r="C1891" s="80" t="s">
        <v>52</v>
      </c>
      <c r="D1891" s="80"/>
      <c r="E1891" s="30">
        <v>2021</v>
      </c>
      <c r="F1891" s="251">
        <v>3000</v>
      </c>
      <c r="G1891" s="482"/>
      <c r="H1891" s="482"/>
      <c r="I1891" s="482"/>
      <c r="J1891" s="482"/>
      <c r="K1891" s="482"/>
      <c r="L1891" s="482"/>
      <c r="M1891" s="482"/>
      <c r="N1891" s="482"/>
      <c r="O1891" s="482"/>
      <c r="P1891" s="482"/>
      <c r="Q1891" s="482"/>
      <c r="R1891" s="482"/>
      <c r="S1891" s="252">
        <f>SUM(G1891:R1891)</f>
        <v>0</v>
      </c>
      <c r="T1891" s="252">
        <f>SUM(36000-S1891)</f>
        <v>36000</v>
      </c>
      <c r="AM1891" s="250"/>
    </row>
    <row r="1892" spans="1:39" s="523" customFormat="1" ht="51.75" customHeight="1" x14ac:dyDescent="0.35">
      <c r="A1892" s="313"/>
      <c r="B1892" s="523" t="s">
        <v>478</v>
      </c>
      <c r="C1892" s="82"/>
      <c r="D1892" s="82"/>
      <c r="E1892" s="660">
        <v>2020</v>
      </c>
      <c r="F1892" s="251">
        <v>3000</v>
      </c>
      <c r="G1892" s="516"/>
      <c r="H1892" s="516"/>
      <c r="I1892" s="516"/>
      <c r="J1892" s="516"/>
      <c r="K1892" s="516"/>
      <c r="L1892" s="516"/>
      <c r="M1892" s="516"/>
      <c r="N1892" s="516"/>
      <c r="O1892" s="553">
        <v>30000</v>
      </c>
      <c r="P1892" s="516"/>
      <c r="Q1892" s="516"/>
      <c r="R1892" s="710"/>
      <c r="S1892" s="252">
        <f>SUM(O1892:R1892)</f>
        <v>30000</v>
      </c>
      <c r="T1892" s="257">
        <f>SUM(12000-S1892)</f>
        <v>-18000</v>
      </c>
      <c r="AM1892" s="525"/>
    </row>
    <row r="1893" spans="1:39" s="523" customFormat="1" ht="51.75" customHeight="1" thickBot="1" x14ac:dyDescent="0.45">
      <c r="A1893" s="253"/>
      <c r="C1893" s="82"/>
      <c r="D1893" s="82"/>
      <c r="E1893" s="526"/>
      <c r="F1893" s="265"/>
      <c r="G1893" s="489"/>
      <c r="H1893" s="489"/>
      <c r="I1893" s="489"/>
      <c r="J1893" s="489"/>
      <c r="K1893" s="489"/>
      <c r="L1893" s="489"/>
      <c r="M1893" s="489"/>
      <c r="N1893" s="489"/>
      <c r="O1893" s="489"/>
      <c r="P1893" s="489"/>
      <c r="Q1893" s="489"/>
      <c r="R1893" s="489"/>
      <c r="S1893" s="178">
        <f>SUM(S1887:S1892)</f>
        <v>85000</v>
      </c>
      <c r="T1893" s="87">
        <f>SUM(T1887:T1892)</f>
        <v>131000</v>
      </c>
      <c r="AM1893" s="525"/>
    </row>
    <row r="1894" spans="1:39" s="523" customFormat="1" ht="51.75" customHeight="1" x14ac:dyDescent="0.45">
      <c r="A1894" s="253"/>
      <c r="C1894" s="658"/>
      <c r="D1894" s="659"/>
      <c r="F1894" s="253"/>
      <c r="G1894" s="512"/>
      <c r="H1894" s="512"/>
      <c r="I1894" s="512"/>
      <c r="J1894" s="512"/>
      <c r="K1894" s="512"/>
      <c r="L1894" s="512"/>
      <c r="M1894" s="512"/>
      <c r="N1894" s="512"/>
      <c r="O1894" s="512"/>
      <c r="P1894" s="512"/>
      <c r="Q1894" s="512"/>
      <c r="R1894" s="512"/>
      <c r="S1894" s="269"/>
      <c r="T1894" s="269"/>
      <c r="AM1894" s="525"/>
    </row>
    <row r="1895" spans="1:39" s="374" customFormat="1" ht="51.75" customHeight="1" x14ac:dyDescent="0.4">
      <c r="A1895" s="241" t="s">
        <v>6</v>
      </c>
      <c r="B1895" s="368" t="s">
        <v>7</v>
      </c>
      <c r="C1895" s="369" t="s">
        <v>8</v>
      </c>
      <c r="D1895" s="518" t="s">
        <v>231</v>
      </c>
      <c r="E1895" s="371" t="s">
        <v>10</v>
      </c>
      <c r="F1895" s="372" t="s">
        <v>11</v>
      </c>
      <c r="G1895" s="476" t="s">
        <v>12</v>
      </c>
      <c r="H1895" s="476" t="s">
        <v>13</v>
      </c>
      <c r="I1895" s="476" t="s">
        <v>14</v>
      </c>
      <c r="J1895" s="476" t="s">
        <v>15</v>
      </c>
      <c r="K1895" s="476" t="s">
        <v>16</v>
      </c>
      <c r="L1895" s="476" t="s">
        <v>17</v>
      </c>
      <c r="M1895" s="476" t="s">
        <v>18</v>
      </c>
      <c r="N1895" s="476" t="s">
        <v>19</v>
      </c>
      <c r="O1895" s="476" t="s">
        <v>20</v>
      </c>
      <c r="P1895" s="476" t="s">
        <v>21</v>
      </c>
      <c r="Q1895" s="476" t="s">
        <v>22</v>
      </c>
      <c r="R1895" s="476" t="s">
        <v>23</v>
      </c>
      <c r="S1895" s="20" t="s">
        <v>24</v>
      </c>
      <c r="T1895" s="20" t="s">
        <v>25</v>
      </c>
      <c r="AM1895" s="375"/>
    </row>
    <row r="1896" spans="1:39" ht="51.75" customHeight="1" x14ac:dyDescent="0.25">
      <c r="A1896" s="704" t="s">
        <v>479</v>
      </c>
      <c r="B1896" s="17"/>
      <c r="C1896" s="519" t="s">
        <v>480</v>
      </c>
      <c r="D1896" s="19" t="str">
        <f>C1896</f>
        <v>MRS BANKE BAYO OJO</v>
      </c>
      <c r="E1896" s="26">
        <v>2025</v>
      </c>
      <c r="F1896" s="251">
        <v>5000</v>
      </c>
      <c r="G1896" s="22"/>
      <c r="H1896" s="22"/>
      <c r="I1896" s="22"/>
      <c r="J1896" s="22"/>
      <c r="K1896" s="22">
        <v>20000</v>
      </c>
      <c r="L1896" s="22"/>
      <c r="M1896" s="22">
        <v>10000</v>
      </c>
      <c r="N1896" s="22"/>
      <c r="O1896" s="22">
        <v>40000</v>
      </c>
      <c r="P1896" s="22"/>
      <c r="Q1896" s="22"/>
      <c r="R1896" s="22"/>
      <c r="S1896" s="64">
        <f>SUM(G1896:R1896)</f>
        <v>70000</v>
      </c>
      <c r="T1896" s="29">
        <f>SUM(F1896*IF(E1896=_current_year,_current_month,12)-(S1896))</f>
        <v>-10000</v>
      </c>
    </row>
    <row r="1897" spans="1:39" ht="51.75" customHeight="1" x14ac:dyDescent="0.25">
      <c r="A1897" s="705"/>
      <c r="B1897" s="17"/>
      <c r="C1897" s="520"/>
      <c r="D1897" s="19"/>
      <c r="E1897" s="30">
        <v>2024</v>
      </c>
      <c r="F1897" s="251">
        <v>3000</v>
      </c>
      <c r="G1897" s="22"/>
      <c r="H1897" s="22">
        <v>45000</v>
      </c>
      <c r="I1897" s="22"/>
      <c r="J1897" s="22">
        <v>20000</v>
      </c>
      <c r="K1897" s="22"/>
      <c r="L1897" s="22"/>
      <c r="M1897" s="22"/>
      <c r="N1897" s="22"/>
      <c r="O1897" s="22"/>
      <c r="P1897" s="22"/>
      <c r="Q1897" s="22"/>
      <c r="R1897" s="22"/>
      <c r="S1897" s="37">
        <f>SUM(G1897:R1897)</f>
        <v>65000</v>
      </c>
      <c r="T1897" s="22">
        <f>SUM(F1897*IF(E1897=_current_year,_current_month,12)-(S1897))</f>
        <v>-29000</v>
      </c>
    </row>
    <row r="1898" spans="1:39" ht="51.75" customHeight="1" x14ac:dyDescent="0.25">
      <c r="A1898" s="705"/>
      <c r="B1898" s="17"/>
      <c r="C1898" s="687" t="s">
        <v>481</v>
      </c>
      <c r="D1898" s="19"/>
      <c r="E1898" s="30">
        <v>2023</v>
      </c>
      <c r="F1898" s="251">
        <v>3000</v>
      </c>
      <c r="G1898" s="22"/>
      <c r="H1898" s="22"/>
      <c r="I1898" s="22"/>
      <c r="J1898" s="22"/>
      <c r="K1898" s="22"/>
      <c r="L1898" s="22"/>
      <c r="M1898" s="22"/>
      <c r="N1898" s="22"/>
      <c r="O1898" s="22"/>
      <c r="P1898" s="22"/>
      <c r="Q1898" s="22"/>
      <c r="R1898" s="22"/>
      <c r="S1898" s="37">
        <f>SUM(G1898:R1898)</f>
        <v>0</v>
      </c>
      <c r="T1898" s="22">
        <f>SUM(F1898*IF(E1898=_current_year,_current_month,12)-(S1898))</f>
        <v>36000</v>
      </c>
    </row>
    <row r="1899" spans="1:39" s="220" customFormat="1" ht="48" customHeight="1" x14ac:dyDescent="0.4">
      <c r="A1899" s="705"/>
      <c r="B1899" s="33" t="s">
        <v>28</v>
      </c>
      <c r="C1899" s="34" t="s">
        <v>482</v>
      </c>
      <c r="D1899" s="35"/>
      <c r="E1899" s="30">
        <v>2022</v>
      </c>
      <c r="F1899" s="251">
        <v>3000</v>
      </c>
      <c r="G1899" s="36"/>
      <c r="H1899" s="36"/>
      <c r="I1899" s="36"/>
      <c r="J1899" s="36"/>
      <c r="K1899" s="482"/>
      <c r="L1899" s="36"/>
      <c r="M1899" s="36"/>
      <c r="N1899" s="36"/>
      <c r="O1899" s="36">
        <v>27000</v>
      </c>
      <c r="P1899" s="36"/>
      <c r="Q1899" s="36"/>
      <c r="R1899" s="36"/>
      <c r="S1899" s="37">
        <f>SUM(G1899:R1899)</f>
        <v>27000</v>
      </c>
      <c r="T1899" s="37">
        <f>SUM(36000-S1899)</f>
        <v>9000</v>
      </c>
      <c r="AM1899" s="250"/>
    </row>
    <row r="1900" spans="1:39" s="220" customFormat="1" ht="51.75" customHeight="1" x14ac:dyDescent="0.4">
      <c r="A1900" s="313" t="s">
        <v>445</v>
      </c>
      <c r="B1900" s="33" t="s">
        <v>28</v>
      </c>
      <c r="C1900" s="80" t="s">
        <v>52</v>
      </c>
      <c r="D1900" s="80"/>
      <c r="E1900" s="30">
        <v>2021</v>
      </c>
      <c r="F1900" s="251">
        <v>3000</v>
      </c>
      <c r="G1900" s="482"/>
      <c r="H1900" s="482"/>
      <c r="I1900" s="482"/>
      <c r="J1900" s="482"/>
      <c r="K1900" s="482"/>
      <c r="L1900" s="482"/>
      <c r="M1900" s="482"/>
      <c r="N1900" s="205"/>
      <c r="O1900" s="482"/>
      <c r="P1900" s="482">
        <v>3000</v>
      </c>
      <c r="Q1900" s="482"/>
      <c r="R1900" s="482"/>
      <c r="S1900" s="252">
        <f>SUM(O1900:R1900)</f>
        <v>3000</v>
      </c>
      <c r="T1900" s="252">
        <f>SUM(12000-S1900)</f>
        <v>9000</v>
      </c>
      <c r="AM1900" s="250"/>
    </row>
    <row r="1901" spans="1:39" s="523" customFormat="1" ht="51.75" customHeight="1" x14ac:dyDescent="0.35">
      <c r="A1901" s="313"/>
      <c r="B1901" s="523" t="s">
        <v>472</v>
      </c>
      <c r="C1901" s="82"/>
      <c r="D1901" s="82"/>
      <c r="E1901" s="526"/>
      <c r="F1901" s="276"/>
      <c r="G1901" s="708"/>
      <c r="H1901" s="708"/>
      <c r="I1901" s="708"/>
      <c r="J1901" s="484"/>
      <c r="K1901" s="484"/>
      <c r="L1901" s="484"/>
      <c r="M1901" s="484"/>
      <c r="N1901" s="484"/>
      <c r="O1901" s="484"/>
      <c r="P1901" s="484"/>
      <c r="Q1901" s="484"/>
      <c r="R1901" s="484"/>
      <c r="S1901" s="286"/>
      <c r="T1901" s="286"/>
      <c r="AM1901" s="525"/>
    </row>
    <row r="1902" spans="1:39" s="523" customFormat="1" ht="51.75" customHeight="1" thickBot="1" x14ac:dyDescent="0.45">
      <c r="A1902" s="253"/>
      <c r="C1902" s="82"/>
      <c r="D1902" s="82"/>
      <c r="E1902" s="526"/>
      <c r="F1902" s="265"/>
      <c r="G1902" s="489"/>
      <c r="H1902" s="489"/>
      <c r="I1902" s="489"/>
      <c r="J1902" s="489"/>
      <c r="K1902" s="489"/>
      <c r="L1902" s="489"/>
      <c r="M1902" s="489"/>
      <c r="N1902" s="489"/>
      <c r="O1902" s="489"/>
      <c r="P1902" s="489"/>
      <c r="Q1902" s="489"/>
      <c r="R1902" s="489"/>
      <c r="S1902" s="178">
        <f>SUM(S1896:S1901)</f>
        <v>165000</v>
      </c>
      <c r="T1902" s="87">
        <f>SUM(T1896:T1901)</f>
        <v>15000</v>
      </c>
      <c r="AM1902" s="525"/>
    </row>
    <row r="1903" spans="1:39" s="523" customFormat="1" ht="51.75" customHeight="1" x14ac:dyDescent="0.4">
      <c r="A1903" s="253"/>
      <c r="C1903" s="187"/>
      <c r="D1903" s="187"/>
      <c r="E1903" s="526"/>
      <c r="F1903" s="264"/>
      <c r="G1903" s="484"/>
      <c r="H1903" s="484"/>
      <c r="I1903" s="484"/>
      <c r="J1903" s="484"/>
      <c r="K1903" s="484"/>
      <c r="L1903" s="484"/>
      <c r="M1903" s="484"/>
      <c r="N1903" s="484"/>
      <c r="O1903" s="484"/>
      <c r="P1903" s="484"/>
      <c r="Q1903" s="484"/>
      <c r="R1903" s="484"/>
      <c r="S1903" s="286"/>
      <c r="T1903" s="711"/>
      <c r="AM1903" s="525"/>
    </row>
    <row r="1904" spans="1:39" s="374" customFormat="1" ht="51.75" customHeight="1" x14ac:dyDescent="0.4">
      <c r="A1904" s="241" t="s">
        <v>6</v>
      </c>
      <c r="B1904" s="368" t="s">
        <v>7</v>
      </c>
      <c r="C1904" s="369" t="s">
        <v>8</v>
      </c>
      <c r="D1904" s="518" t="s">
        <v>231</v>
      </c>
      <c r="E1904" s="371" t="s">
        <v>10</v>
      </c>
      <c r="F1904" s="372" t="s">
        <v>11</v>
      </c>
      <c r="G1904" s="476" t="s">
        <v>12</v>
      </c>
      <c r="H1904" s="476" t="s">
        <v>13</v>
      </c>
      <c r="I1904" s="476" t="s">
        <v>14</v>
      </c>
      <c r="J1904" s="476" t="s">
        <v>15</v>
      </c>
      <c r="K1904" s="476" t="s">
        <v>16</v>
      </c>
      <c r="L1904" s="476" t="s">
        <v>17</v>
      </c>
      <c r="M1904" s="476" t="s">
        <v>18</v>
      </c>
      <c r="N1904" s="476" t="s">
        <v>19</v>
      </c>
      <c r="O1904" s="476" t="s">
        <v>20</v>
      </c>
      <c r="P1904" s="476" t="s">
        <v>21</v>
      </c>
      <c r="Q1904" s="476" t="s">
        <v>22</v>
      </c>
      <c r="R1904" s="476" t="s">
        <v>23</v>
      </c>
      <c r="S1904" s="20" t="s">
        <v>24</v>
      </c>
      <c r="T1904" s="20" t="s">
        <v>25</v>
      </c>
      <c r="AM1904" s="375"/>
    </row>
    <row r="1905" spans="1:39" ht="51.75" customHeight="1" x14ac:dyDescent="0.25">
      <c r="A1905" s="712" t="s">
        <v>483</v>
      </c>
      <c r="B1905" s="17"/>
      <c r="C1905" s="654" t="s">
        <v>484</v>
      </c>
      <c r="D1905" s="19"/>
      <c r="E1905" s="26">
        <v>2025</v>
      </c>
      <c r="F1905" s="251">
        <v>5000</v>
      </c>
      <c r="G1905" s="22"/>
      <c r="H1905" s="22"/>
      <c r="I1905" s="22"/>
      <c r="J1905" s="22"/>
      <c r="K1905" s="22"/>
      <c r="L1905" s="713">
        <v>30000</v>
      </c>
      <c r="M1905" s="22"/>
      <c r="N1905" s="22"/>
      <c r="O1905" s="22"/>
      <c r="P1905" s="22"/>
      <c r="Q1905" s="22"/>
      <c r="R1905" s="22"/>
      <c r="S1905" s="64">
        <f t="shared" ref="S1905" si="109">SUM(G1905:R1905)</f>
        <v>30000</v>
      </c>
      <c r="T1905" s="29">
        <f>SUM(F1905*6-(S1905))</f>
        <v>0</v>
      </c>
    </row>
    <row r="1906" spans="1:39" ht="51.75" customHeight="1" x14ac:dyDescent="0.25">
      <c r="A1906" s="714"/>
      <c r="B1906" s="17"/>
      <c r="C1906" s="656"/>
      <c r="D1906" s="19"/>
      <c r="E1906" s="30"/>
      <c r="F1906" s="251"/>
      <c r="G1906" s="22"/>
      <c r="H1906" s="22"/>
      <c r="I1906" s="22"/>
      <c r="J1906" s="22"/>
      <c r="K1906" s="22"/>
      <c r="L1906" s="22"/>
      <c r="M1906" s="22"/>
      <c r="N1906" s="22"/>
      <c r="O1906" s="22"/>
      <c r="P1906" s="22"/>
      <c r="Q1906" s="22"/>
      <c r="R1906" s="22"/>
      <c r="S1906" s="37"/>
      <c r="T1906" s="22"/>
    </row>
    <row r="1907" spans="1:39" ht="51.75" customHeight="1" x14ac:dyDescent="0.25">
      <c r="A1907" s="714"/>
      <c r="B1907" s="17"/>
      <c r="C1907" s="656"/>
      <c r="D1907" s="19"/>
      <c r="E1907" s="30"/>
      <c r="F1907" s="251"/>
      <c r="G1907" s="22"/>
      <c r="H1907" s="22"/>
      <c r="I1907" s="22"/>
      <c r="J1907" s="22"/>
      <c r="K1907" s="22"/>
      <c r="L1907" s="22"/>
      <c r="M1907" s="22"/>
      <c r="N1907" s="22"/>
      <c r="O1907" s="22"/>
      <c r="P1907" s="22"/>
      <c r="Q1907" s="22"/>
      <c r="R1907" s="22"/>
      <c r="S1907" s="37"/>
      <c r="T1907" s="22"/>
    </row>
    <row r="1908" spans="1:39" s="220" customFormat="1" ht="48" customHeight="1" x14ac:dyDescent="0.4">
      <c r="A1908" s="714"/>
      <c r="B1908" s="33" t="s">
        <v>28</v>
      </c>
      <c r="C1908" s="715" t="s">
        <v>485</v>
      </c>
      <c r="D1908" s="35"/>
      <c r="E1908" s="30"/>
      <c r="F1908" s="251"/>
      <c r="G1908" s="36"/>
      <c r="H1908" s="36"/>
      <c r="I1908" s="36"/>
      <c r="J1908" s="36"/>
      <c r="K1908" s="36"/>
      <c r="L1908" s="36"/>
      <c r="M1908" s="36"/>
      <c r="N1908" s="36"/>
      <c r="O1908" s="36"/>
      <c r="P1908" s="36"/>
      <c r="Q1908" s="36"/>
      <c r="R1908" s="36"/>
      <c r="S1908" s="37"/>
      <c r="T1908" s="37"/>
      <c r="AM1908" s="250"/>
    </row>
    <row r="1909" spans="1:39" s="220" customFormat="1" ht="51.75" customHeight="1" x14ac:dyDescent="0.4">
      <c r="A1909" s="313" t="s">
        <v>445</v>
      </c>
      <c r="B1909" s="33" t="s">
        <v>28</v>
      </c>
      <c r="C1909" s="38" t="s">
        <v>52</v>
      </c>
      <c r="D1909" s="124"/>
      <c r="E1909" s="30"/>
      <c r="F1909" s="251"/>
      <c r="G1909" s="482"/>
      <c r="H1909" s="482"/>
      <c r="I1909" s="516"/>
      <c r="J1909" s="482"/>
      <c r="K1909" s="482"/>
      <c r="L1909" s="482"/>
      <c r="M1909" s="482"/>
      <c r="N1909" s="482"/>
      <c r="O1909" s="482"/>
      <c r="P1909" s="482"/>
      <c r="Q1909" s="482"/>
      <c r="R1909" s="482"/>
      <c r="S1909" s="252"/>
      <c r="T1909" s="252"/>
      <c r="AM1909" s="250"/>
    </row>
    <row r="1910" spans="1:39" s="523" customFormat="1" ht="51.75" customHeight="1" x14ac:dyDescent="0.35">
      <c r="A1910" s="313"/>
      <c r="B1910" s="523" t="s">
        <v>486</v>
      </c>
      <c r="C1910" s="125"/>
      <c r="D1910" s="126"/>
      <c r="E1910" s="660"/>
      <c r="F1910" s="251"/>
      <c r="H1910" s="535"/>
      <c r="I1910" s="535"/>
      <c r="J1910" s="535"/>
      <c r="K1910" s="535"/>
      <c r="L1910" s="535"/>
      <c r="M1910" s="535"/>
      <c r="N1910" s="516"/>
      <c r="O1910" s="516"/>
      <c r="P1910" s="516"/>
      <c r="Q1910" s="516"/>
      <c r="R1910" s="516"/>
      <c r="S1910" s="252"/>
      <c r="T1910" s="257"/>
      <c r="AM1910" s="525"/>
    </row>
    <row r="1911" spans="1:39" s="523" customFormat="1" ht="51.75" customHeight="1" thickBot="1" x14ac:dyDescent="0.45">
      <c r="A1911" s="253"/>
      <c r="C1911" s="658"/>
      <c r="D1911" s="659"/>
      <c r="E1911" s="526"/>
      <c r="F1911" s="265"/>
      <c r="G1911" s="489"/>
      <c r="H1911" s="489"/>
      <c r="I1911" s="489"/>
      <c r="J1911" s="489"/>
      <c r="K1911" s="489"/>
      <c r="L1911" s="489"/>
      <c r="M1911" s="489"/>
      <c r="N1911" s="489"/>
      <c r="O1911" s="489"/>
      <c r="P1911" s="489"/>
      <c r="Q1911" s="489"/>
      <c r="R1911" s="489"/>
      <c r="S1911" s="178">
        <f>SUM(S1905:S1910)</f>
        <v>30000</v>
      </c>
      <c r="T1911" s="87">
        <f>SUM(T1905:T1910)</f>
        <v>0</v>
      </c>
      <c r="AM1911" s="525"/>
    </row>
    <row r="1912" spans="1:39" s="523" customFormat="1" ht="51.75" customHeight="1" x14ac:dyDescent="0.4">
      <c r="A1912" s="253"/>
      <c r="C1912" s="658"/>
      <c r="D1912" s="659"/>
      <c r="E1912" s="526"/>
      <c r="F1912" s="264"/>
      <c r="G1912" s="484"/>
      <c r="H1912" s="484"/>
      <c r="I1912" s="484"/>
      <c r="J1912" s="484"/>
      <c r="K1912" s="484"/>
      <c r="L1912" s="484"/>
      <c r="M1912" s="484"/>
      <c r="N1912" s="484"/>
      <c r="O1912" s="484"/>
      <c r="P1912" s="484"/>
      <c r="Q1912" s="484"/>
      <c r="R1912" s="484"/>
      <c r="S1912" s="517"/>
      <c r="T1912" s="517"/>
      <c r="AM1912" s="525"/>
    </row>
    <row r="1913" spans="1:39" s="523" customFormat="1" ht="51.75" customHeight="1" x14ac:dyDescent="0.45">
      <c r="A1913" s="253"/>
      <c r="C1913" s="658"/>
      <c r="D1913" s="659"/>
      <c r="F1913" s="253"/>
      <c r="G1913" s="512"/>
      <c r="H1913" s="512"/>
      <c r="I1913" s="512"/>
      <c r="J1913" s="512"/>
      <c r="K1913" s="512"/>
      <c r="L1913" s="512"/>
      <c r="M1913" s="512"/>
      <c r="N1913" s="512"/>
      <c r="O1913" s="512"/>
      <c r="P1913" s="512"/>
      <c r="Q1913" s="512"/>
      <c r="R1913" s="512"/>
      <c r="S1913" s="269"/>
      <c r="T1913" s="269"/>
      <c r="AM1913" s="525"/>
    </row>
    <row r="1914" spans="1:39" s="374" customFormat="1" ht="51.75" customHeight="1" x14ac:dyDescent="0.4">
      <c r="A1914" s="241" t="s">
        <v>6</v>
      </c>
      <c r="B1914" s="368" t="s">
        <v>7</v>
      </c>
      <c r="C1914" s="369" t="s">
        <v>8</v>
      </c>
      <c r="D1914" s="518" t="s">
        <v>231</v>
      </c>
      <c r="E1914" s="371" t="s">
        <v>10</v>
      </c>
      <c r="F1914" s="372" t="s">
        <v>11</v>
      </c>
      <c r="G1914" s="476" t="s">
        <v>12</v>
      </c>
      <c r="H1914" s="476" t="s">
        <v>13</v>
      </c>
      <c r="I1914" s="476" t="s">
        <v>14</v>
      </c>
      <c r="J1914" s="476" t="s">
        <v>15</v>
      </c>
      <c r="K1914" s="476" t="s">
        <v>16</v>
      </c>
      <c r="L1914" s="476" t="s">
        <v>17</v>
      </c>
      <c r="M1914" s="476" t="s">
        <v>18</v>
      </c>
      <c r="N1914" s="476" t="s">
        <v>19</v>
      </c>
      <c r="O1914" s="476" t="s">
        <v>20</v>
      </c>
      <c r="P1914" s="476" t="s">
        <v>21</v>
      </c>
      <c r="Q1914" s="476" t="s">
        <v>22</v>
      </c>
      <c r="R1914" s="476" t="s">
        <v>23</v>
      </c>
      <c r="S1914" s="20" t="s">
        <v>24</v>
      </c>
      <c r="T1914" s="20" t="s">
        <v>25</v>
      </c>
      <c r="AM1914" s="375"/>
    </row>
    <row r="1915" spans="1:39" ht="51.75" customHeight="1" x14ac:dyDescent="0.25">
      <c r="A1915" s="704" t="s">
        <v>487</v>
      </c>
      <c r="B1915" s="17"/>
      <c r="C1915" s="519" t="s">
        <v>488</v>
      </c>
      <c r="D1915" s="19"/>
      <c r="E1915" s="26">
        <v>2025</v>
      </c>
      <c r="F1915" s="251">
        <v>5000</v>
      </c>
      <c r="G1915" s="22"/>
      <c r="H1915" s="22"/>
      <c r="I1915" s="22"/>
      <c r="J1915" s="22"/>
      <c r="K1915" s="22"/>
      <c r="L1915" s="22">
        <v>20000</v>
      </c>
      <c r="M1915" s="22"/>
      <c r="N1915" s="22"/>
      <c r="O1915" s="22">
        <v>13000</v>
      </c>
      <c r="P1915" s="22"/>
      <c r="Q1915" s="22"/>
      <c r="R1915" s="22"/>
      <c r="S1915" s="64">
        <f t="shared" ref="S1915:S1920" si="110">SUM(G1915:R1915)</f>
        <v>33000</v>
      </c>
      <c r="T1915" s="29">
        <f>SUM(F1915*IF(E1915=_current_year,_current_month,12)-(S1915))</f>
        <v>27000</v>
      </c>
    </row>
    <row r="1916" spans="1:39" ht="51.75" customHeight="1" x14ac:dyDescent="0.25">
      <c r="A1916" s="705"/>
      <c r="B1916" s="17"/>
      <c r="C1916" s="684"/>
      <c r="D1916" s="19"/>
      <c r="E1916" s="30">
        <v>2024</v>
      </c>
      <c r="F1916" s="251">
        <v>3000</v>
      </c>
      <c r="G1916" s="22"/>
      <c r="H1916" s="22"/>
      <c r="I1916" s="22">
        <v>18000</v>
      </c>
      <c r="J1916" s="22"/>
      <c r="K1916" s="22"/>
      <c r="L1916" s="22"/>
      <c r="M1916" s="22"/>
      <c r="N1916" s="22">
        <v>10000</v>
      </c>
      <c r="O1916" s="22"/>
      <c r="P1916" s="22"/>
      <c r="Q1916" s="22"/>
      <c r="R1916" s="22">
        <v>20000</v>
      </c>
      <c r="S1916" s="37">
        <f t="shared" si="110"/>
        <v>48000</v>
      </c>
      <c r="T1916" s="22">
        <f>SUM(F1916*IF(E1916=_current_year,_current_month,12)-(S1916))</f>
        <v>-12000</v>
      </c>
    </row>
    <row r="1917" spans="1:39" ht="51.75" customHeight="1" x14ac:dyDescent="0.25">
      <c r="A1917" s="705"/>
      <c r="B1917" s="17"/>
      <c r="C1917" s="684"/>
      <c r="D1917" s="19"/>
      <c r="E1917" s="30">
        <v>2023</v>
      </c>
      <c r="F1917" s="251">
        <v>3000</v>
      </c>
      <c r="G1917" s="22">
        <v>9000</v>
      </c>
      <c r="H1917" s="22"/>
      <c r="I1917" s="22"/>
      <c r="J1917" s="22"/>
      <c r="K1917" s="22">
        <v>9000</v>
      </c>
      <c r="L1917" s="22"/>
      <c r="M1917" s="22"/>
      <c r="N1917" s="22">
        <v>18000</v>
      </c>
      <c r="O1917" s="22"/>
      <c r="P1917" s="22"/>
      <c r="Q1917" s="22"/>
      <c r="R1917" s="22"/>
      <c r="S1917" s="37">
        <f t="shared" si="110"/>
        <v>36000</v>
      </c>
      <c r="T1917" s="22">
        <f>SUM(F1917*IF(E1917=_current_year,_current_month,12)-(S1917))</f>
        <v>0</v>
      </c>
    </row>
    <row r="1918" spans="1:39" s="220" customFormat="1" ht="48" customHeight="1" x14ac:dyDescent="0.4">
      <c r="A1918" s="705"/>
      <c r="B1918" s="33" t="s">
        <v>28</v>
      </c>
      <c r="C1918" s="520"/>
      <c r="D1918" s="35"/>
      <c r="E1918" s="30">
        <v>2022</v>
      </c>
      <c r="F1918" s="251">
        <v>3000</v>
      </c>
      <c r="G1918" s="36"/>
      <c r="H1918" s="36"/>
      <c r="I1918" s="36">
        <v>30000</v>
      </c>
      <c r="J1918" s="36"/>
      <c r="K1918" s="36"/>
      <c r="L1918" s="36"/>
      <c r="M1918" s="36">
        <v>9000</v>
      </c>
      <c r="N1918" s="36"/>
      <c r="O1918" s="36"/>
      <c r="P1918" s="36"/>
      <c r="Q1918" s="36"/>
      <c r="R1918" s="36"/>
      <c r="S1918" s="37">
        <f t="shared" si="110"/>
        <v>39000</v>
      </c>
      <c r="T1918" s="37">
        <f>SUM(36000-S1918)</f>
        <v>-3000</v>
      </c>
      <c r="AM1918" s="250"/>
    </row>
    <row r="1919" spans="1:39" s="220" customFormat="1" ht="51.75" customHeight="1" x14ac:dyDescent="0.4">
      <c r="A1919" s="313" t="s">
        <v>445</v>
      </c>
      <c r="B1919" s="33" t="s">
        <v>28</v>
      </c>
      <c r="C1919" s="38" t="s">
        <v>52</v>
      </c>
      <c r="D1919" s="124"/>
      <c r="E1919" s="30">
        <v>2021</v>
      </c>
      <c r="F1919" s="251">
        <v>3000</v>
      </c>
      <c r="G1919" s="482"/>
      <c r="H1919" s="482"/>
      <c r="I1919" s="516">
        <v>9000</v>
      </c>
      <c r="J1919" s="482"/>
      <c r="K1919" s="482"/>
      <c r="L1919" s="482"/>
      <c r="M1919" s="482"/>
      <c r="N1919" s="482"/>
      <c r="O1919" s="482"/>
      <c r="P1919" s="482">
        <v>21000</v>
      </c>
      <c r="Q1919" s="482"/>
      <c r="R1919" s="482"/>
      <c r="S1919" s="252">
        <f t="shared" si="110"/>
        <v>30000</v>
      </c>
      <c r="T1919" s="252">
        <f>SUM(36000-S1919)</f>
        <v>6000</v>
      </c>
      <c r="AM1919" s="250"/>
    </row>
    <row r="1920" spans="1:39" s="523" customFormat="1" ht="51.75" customHeight="1" x14ac:dyDescent="0.35">
      <c r="A1920" s="313"/>
      <c r="B1920" s="523" t="s">
        <v>486</v>
      </c>
      <c r="C1920" s="125"/>
      <c r="D1920" s="126"/>
      <c r="E1920" s="660">
        <v>2020</v>
      </c>
      <c r="F1920" s="251">
        <v>3000</v>
      </c>
      <c r="G1920" s="556"/>
      <c r="H1920" s="535"/>
      <c r="I1920" s="535"/>
      <c r="J1920" s="535"/>
      <c r="K1920" s="535">
        <v>18000</v>
      </c>
      <c r="L1920" s="535"/>
      <c r="M1920" s="535"/>
      <c r="N1920" s="516">
        <v>9000</v>
      </c>
      <c r="O1920" s="516"/>
      <c r="P1920" s="516"/>
      <c r="Q1920" s="516"/>
      <c r="R1920" s="516">
        <v>9000</v>
      </c>
      <c r="S1920" s="252">
        <f t="shared" si="110"/>
        <v>36000</v>
      </c>
      <c r="T1920" s="257">
        <f>SUM(33000-S1920)</f>
        <v>-3000</v>
      </c>
      <c r="AM1920" s="525"/>
    </row>
    <row r="1921" spans="1:39" s="523" customFormat="1" ht="51.75" customHeight="1" thickBot="1" x14ac:dyDescent="0.45">
      <c r="A1921" s="253"/>
      <c r="C1921" s="658"/>
      <c r="D1921" s="659"/>
      <c r="E1921" s="526"/>
      <c r="F1921" s="265"/>
      <c r="G1921" s="489"/>
      <c r="H1921" s="489"/>
      <c r="I1921" s="489"/>
      <c r="J1921" s="489"/>
      <c r="K1921" s="489"/>
      <c r="L1921" s="489"/>
      <c r="M1921" s="489"/>
      <c r="N1921" s="489"/>
      <c r="O1921" s="489"/>
      <c r="P1921" s="489"/>
      <c r="Q1921" s="489"/>
      <c r="R1921" s="489"/>
      <c r="S1921" s="178">
        <f>SUM(S1915:S1920)</f>
        <v>222000</v>
      </c>
      <c r="T1921" s="87">
        <f>SUM(T1915:T1920)</f>
        <v>15000</v>
      </c>
      <c r="AM1921" s="525"/>
    </row>
    <row r="1922" spans="1:39" s="523" customFormat="1" ht="51.75" customHeight="1" x14ac:dyDescent="0.4">
      <c r="A1922" s="253"/>
      <c r="C1922" s="658"/>
      <c r="D1922" s="659"/>
      <c r="E1922" s="526"/>
      <c r="F1922" s="264"/>
      <c r="G1922" s="484"/>
      <c r="H1922" s="484"/>
      <c r="I1922" s="484"/>
      <c r="J1922" s="484"/>
      <c r="K1922" s="484"/>
      <c r="L1922" s="484"/>
      <c r="M1922" s="484"/>
      <c r="N1922" s="484"/>
      <c r="O1922" s="484"/>
      <c r="P1922" s="484"/>
      <c r="Q1922" s="484"/>
      <c r="R1922" s="484"/>
      <c r="S1922" s="517"/>
      <c r="T1922" s="517"/>
      <c r="AM1922" s="525"/>
    </row>
    <row r="1923" spans="1:39" s="523" customFormat="1" ht="51.75" customHeight="1" x14ac:dyDescent="0.45">
      <c r="A1923" s="253"/>
      <c r="C1923" s="658"/>
      <c r="D1923" s="659"/>
      <c r="F1923" s="253"/>
      <c r="G1923" s="512"/>
      <c r="H1923" s="512"/>
      <c r="I1923" s="512"/>
      <c r="J1923" s="512"/>
      <c r="K1923" s="512"/>
      <c r="L1923" s="512"/>
      <c r="M1923" s="512"/>
      <c r="N1923" s="512"/>
      <c r="O1923" s="512"/>
      <c r="P1923" s="512"/>
      <c r="Q1923" s="512"/>
      <c r="R1923" s="512"/>
      <c r="S1923" s="269"/>
      <c r="T1923" s="269"/>
      <c r="AM1923" s="525"/>
    </row>
    <row r="1924" spans="1:39" s="374" customFormat="1" ht="51.75" customHeight="1" x14ac:dyDescent="0.4">
      <c r="A1924" s="241" t="s">
        <v>6</v>
      </c>
      <c r="B1924" s="368" t="s">
        <v>7</v>
      </c>
      <c r="C1924" s="369" t="s">
        <v>8</v>
      </c>
      <c r="D1924" s="518" t="s">
        <v>231</v>
      </c>
      <c r="E1924" s="371" t="s">
        <v>10</v>
      </c>
      <c r="F1924" s="372" t="s">
        <v>11</v>
      </c>
      <c r="G1924" s="476" t="s">
        <v>12</v>
      </c>
      <c r="H1924" s="476" t="s">
        <v>13</v>
      </c>
      <c r="I1924" s="476" t="s">
        <v>14</v>
      </c>
      <c r="J1924" s="476" t="s">
        <v>15</v>
      </c>
      <c r="K1924" s="476" t="s">
        <v>16</v>
      </c>
      <c r="L1924" s="476" t="s">
        <v>17</v>
      </c>
      <c r="M1924" s="476" t="s">
        <v>18</v>
      </c>
      <c r="N1924" s="476" t="s">
        <v>19</v>
      </c>
      <c r="O1924" s="476" t="s">
        <v>20</v>
      </c>
      <c r="P1924" s="476" t="s">
        <v>21</v>
      </c>
      <c r="Q1924" s="476" t="s">
        <v>22</v>
      </c>
      <c r="R1924" s="476" t="s">
        <v>23</v>
      </c>
      <c r="S1924" s="20" t="s">
        <v>24</v>
      </c>
      <c r="T1924" s="20" t="s">
        <v>25</v>
      </c>
      <c r="AM1924" s="375"/>
    </row>
    <row r="1925" spans="1:39" ht="51.75" customHeight="1" x14ac:dyDescent="0.25">
      <c r="A1925" s="704" t="s">
        <v>489</v>
      </c>
      <c r="B1925" s="17"/>
      <c r="C1925" s="654" t="s">
        <v>490</v>
      </c>
      <c r="D1925" s="19"/>
      <c r="E1925" s="26">
        <v>2025</v>
      </c>
      <c r="F1925" s="251">
        <v>5000</v>
      </c>
      <c r="G1925" s="22"/>
      <c r="H1925" s="22"/>
      <c r="I1925" s="22"/>
      <c r="J1925" s="22"/>
      <c r="K1925" s="22"/>
      <c r="L1925" s="22"/>
      <c r="M1925" s="22">
        <v>20000</v>
      </c>
      <c r="N1925" s="22"/>
      <c r="O1925" s="22"/>
      <c r="P1925" s="22"/>
      <c r="Q1925" s="22"/>
      <c r="R1925" s="22"/>
      <c r="S1925" s="64">
        <f t="shared" ref="S1925:S1926" si="111">SUM(G1925:R1925)</f>
        <v>20000</v>
      </c>
      <c r="T1925" s="29">
        <f>SUM(F1925*IF(E1925=_current_year,_current_month,12)-(S1925))</f>
        <v>40000</v>
      </c>
    </row>
    <row r="1926" spans="1:39" ht="51.75" customHeight="1" x14ac:dyDescent="0.25">
      <c r="A1926" s="705"/>
      <c r="B1926" s="17"/>
      <c r="C1926" s="656"/>
      <c r="D1926" s="19"/>
      <c r="E1926" s="30">
        <v>2024</v>
      </c>
      <c r="F1926" s="251">
        <v>3000</v>
      </c>
      <c r="G1926" s="22"/>
      <c r="H1926" s="22"/>
      <c r="I1926" s="22"/>
      <c r="J1926" s="22"/>
      <c r="K1926" s="22"/>
      <c r="L1926" s="22"/>
      <c r="M1926" s="22"/>
      <c r="N1926" s="22"/>
      <c r="O1926" s="22"/>
      <c r="P1926" s="556"/>
      <c r="Q1926" s="22">
        <v>15000</v>
      </c>
      <c r="R1926" s="22"/>
      <c r="S1926" s="37">
        <f t="shared" si="111"/>
        <v>15000</v>
      </c>
      <c r="T1926" s="22">
        <f>SUM(F1926*IF(E1926=_current_year,_current_month,1)-(S1926))</f>
        <v>-12000</v>
      </c>
    </row>
    <row r="1927" spans="1:39" ht="51.75" customHeight="1" x14ac:dyDescent="0.25">
      <c r="A1927" s="705"/>
      <c r="B1927" s="17"/>
      <c r="C1927" s="656"/>
      <c r="D1927" s="19"/>
      <c r="E1927" s="73"/>
      <c r="F1927" s="74"/>
      <c r="G1927" s="74"/>
      <c r="H1927" s="74"/>
      <c r="I1927" s="74"/>
      <c r="J1927" s="74"/>
      <c r="K1927" s="74"/>
      <c r="L1927" s="74"/>
      <c r="M1927" s="74"/>
      <c r="N1927" s="74"/>
      <c r="O1927" s="74"/>
      <c r="P1927" s="74"/>
      <c r="Q1927" s="74"/>
      <c r="R1927" s="74"/>
      <c r="S1927" s="74"/>
      <c r="T1927" s="75"/>
    </row>
    <row r="1928" spans="1:39" s="220" customFormat="1" ht="48" customHeight="1" x14ac:dyDescent="0.4">
      <c r="A1928" s="705"/>
      <c r="B1928" s="33" t="s">
        <v>28</v>
      </c>
      <c r="C1928" s="657"/>
      <c r="D1928" s="35"/>
      <c r="E1928" s="77"/>
      <c r="F1928" s="78"/>
      <c r="G1928" s="78"/>
      <c r="H1928" s="78"/>
      <c r="I1928" s="78"/>
      <c r="J1928" s="78"/>
      <c r="K1928" s="78"/>
      <c r="L1928" s="78"/>
      <c r="M1928" s="78"/>
      <c r="N1928" s="78"/>
      <c r="O1928" s="78"/>
      <c r="P1928" s="78"/>
      <c r="Q1928" s="78"/>
      <c r="R1928" s="78"/>
      <c r="S1928" s="78"/>
      <c r="T1928" s="79"/>
      <c r="AM1928" s="250"/>
    </row>
    <row r="1929" spans="1:39" s="220" customFormat="1" ht="51.75" customHeight="1" x14ac:dyDescent="0.4">
      <c r="A1929" s="716" t="s">
        <v>445</v>
      </c>
      <c r="B1929" s="33" t="s">
        <v>28</v>
      </c>
      <c r="C1929" s="80" t="s">
        <v>52</v>
      </c>
      <c r="D1929" s="80"/>
      <c r="E1929" s="77"/>
      <c r="F1929" s="78"/>
      <c r="G1929" s="78"/>
      <c r="H1929" s="78"/>
      <c r="I1929" s="78"/>
      <c r="J1929" s="78"/>
      <c r="K1929" s="78"/>
      <c r="L1929" s="78"/>
      <c r="M1929" s="78"/>
      <c r="N1929" s="78"/>
      <c r="O1929" s="78"/>
      <c r="P1929" s="78"/>
      <c r="Q1929" s="78"/>
      <c r="R1929" s="78"/>
      <c r="S1929" s="78"/>
      <c r="T1929" s="79"/>
      <c r="AM1929" s="250"/>
    </row>
    <row r="1930" spans="1:39" s="523" customFormat="1" ht="51.75" customHeight="1" x14ac:dyDescent="0.35">
      <c r="A1930" s="716"/>
      <c r="B1930" s="523" t="s">
        <v>486</v>
      </c>
      <c r="C1930" s="82"/>
      <c r="D1930" s="82"/>
      <c r="E1930" s="77"/>
      <c r="F1930" s="78"/>
      <c r="G1930" s="78"/>
      <c r="H1930" s="78"/>
      <c r="I1930" s="78"/>
      <c r="J1930" s="78"/>
      <c r="K1930" s="78"/>
      <c r="L1930" s="78"/>
      <c r="M1930" s="78"/>
      <c r="N1930" s="78"/>
      <c r="O1930" s="78"/>
      <c r="P1930" s="78"/>
      <c r="Q1930" s="78"/>
      <c r="R1930" s="78"/>
      <c r="S1930" s="78"/>
      <c r="T1930" s="79"/>
      <c r="AM1930" s="525"/>
    </row>
    <row r="1931" spans="1:39" s="523" customFormat="1" ht="51.75" customHeight="1" thickBot="1" x14ac:dyDescent="0.4">
      <c r="A1931" s="716"/>
      <c r="C1931" s="82"/>
      <c r="D1931" s="82"/>
      <c r="E1931" s="526"/>
      <c r="F1931" s="265"/>
      <c r="G1931" s="489"/>
      <c r="H1931" s="489"/>
      <c r="I1931" s="489"/>
      <c r="J1931" s="489"/>
      <c r="K1931" s="489"/>
      <c r="L1931" s="489"/>
      <c r="M1931" s="489"/>
      <c r="N1931" s="489"/>
      <c r="O1931" s="489"/>
      <c r="P1931" s="489"/>
      <c r="Q1931" s="489"/>
      <c r="R1931" s="489"/>
      <c r="S1931" s="178">
        <f>SUM(S1925:S1930)</f>
        <v>35000</v>
      </c>
      <c r="T1931" s="87">
        <f>SUM(T1925:T1930)</f>
        <v>28000</v>
      </c>
      <c r="AM1931" s="525"/>
    </row>
    <row r="1932" spans="1:39" s="523" customFormat="1" ht="51.75" customHeight="1" x14ac:dyDescent="0.4">
      <c r="A1932" s="253"/>
      <c r="C1932" s="658"/>
      <c r="D1932" s="659"/>
      <c r="E1932" s="526"/>
      <c r="F1932" s="264"/>
      <c r="G1932" s="484"/>
      <c r="H1932" s="484"/>
      <c r="I1932" s="484"/>
      <c r="J1932" s="484"/>
      <c r="K1932" s="484"/>
      <c r="L1932" s="484"/>
      <c r="M1932" s="484"/>
      <c r="N1932" s="484"/>
      <c r="O1932" s="484"/>
      <c r="P1932" s="484"/>
      <c r="Q1932" s="484"/>
      <c r="R1932" s="484"/>
      <c r="S1932" s="517"/>
      <c r="T1932" s="517"/>
      <c r="AM1932" s="525"/>
    </row>
    <row r="1933" spans="1:39" s="374" customFormat="1" ht="51.75" customHeight="1" x14ac:dyDescent="0.4">
      <c r="A1933" s="241" t="s">
        <v>6</v>
      </c>
      <c r="B1933" s="368" t="s">
        <v>7</v>
      </c>
      <c r="C1933" s="369" t="s">
        <v>8</v>
      </c>
      <c r="D1933" s="518" t="s">
        <v>231</v>
      </c>
      <c r="E1933" s="371" t="s">
        <v>10</v>
      </c>
      <c r="F1933" s="372" t="s">
        <v>11</v>
      </c>
      <c r="G1933" s="476" t="s">
        <v>12</v>
      </c>
      <c r="H1933" s="476" t="s">
        <v>13</v>
      </c>
      <c r="I1933" s="476" t="s">
        <v>14</v>
      </c>
      <c r="J1933" s="476" t="s">
        <v>15</v>
      </c>
      <c r="K1933" s="476" t="s">
        <v>16</v>
      </c>
      <c r="L1933" s="476" t="s">
        <v>17</v>
      </c>
      <c r="M1933" s="476" t="s">
        <v>18</v>
      </c>
      <c r="N1933" s="476" t="s">
        <v>19</v>
      </c>
      <c r="O1933" s="476" t="s">
        <v>20</v>
      </c>
      <c r="P1933" s="476" t="s">
        <v>21</v>
      </c>
      <c r="Q1933" s="476" t="s">
        <v>22</v>
      </c>
      <c r="R1933" s="476" t="s">
        <v>23</v>
      </c>
      <c r="S1933" s="20" t="s">
        <v>24</v>
      </c>
      <c r="T1933" s="20" t="s">
        <v>25</v>
      </c>
      <c r="AM1933" s="375"/>
    </row>
    <row r="1934" spans="1:39" ht="51.75" customHeight="1" x14ac:dyDescent="0.25">
      <c r="A1934" s="717" t="s">
        <v>491</v>
      </c>
      <c r="B1934" s="17"/>
      <c r="C1934" s="519" t="s">
        <v>492</v>
      </c>
      <c r="D1934" s="19"/>
      <c r="E1934" s="26">
        <v>2025</v>
      </c>
      <c r="F1934" s="251">
        <v>10000</v>
      </c>
      <c r="G1934" s="22"/>
      <c r="H1934" s="22"/>
      <c r="I1934" s="22"/>
      <c r="J1934" s="22"/>
      <c r="K1934" s="22"/>
      <c r="L1934" s="22"/>
      <c r="M1934" s="22"/>
      <c r="N1934" s="22">
        <v>140000</v>
      </c>
      <c r="O1934" s="22"/>
      <c r="P1934" s="22"/>
      <c r="Q1934" s="22"/>
      <c r="R1934" s="22"/>
      <c r="S1934" s="64">
        <f t="shared" ref="S1934:S1944" si="112">SUM(G1934:R1934)</f>
        <v>140000</v>
      </c>
      <c r="T1934" s="29">
        <f>SUM(F1934*IF(E1934=_current_year,_current_month,12)-(S1934))</f>
        <v>-20000</v>
      </c>
    </row>
    <row r="1935" spans="1:39" ht="51.75" customHeight="1" x14ac:dyDescent="0.25">
      <c r="A1935" s="718"/>
      <c r="B1935" s="17"/>
      <c r="C1935" s="520"/>
      <c r="D1935" s="19"/>
      <c r="E1935" s="30">
        <v>2024</v>
      </c>
      <c r="F1935" s="251">
        <v>5000</v>
      </c>
      <c r="G1935" s="22">
        <v>60000</v>
      </c>
      <c r="H1935" s="22"/>
      <c r="I1935" s="22"/>
      <c r="J1935" s="22"/>
      <c r="K1935" s="22"/>
      <c r="L1935" s="22"/>
      <c r="M1935" s="22"/>
      <c r="N1935" s="22"/>
      <c r="O1935" s="22"/>
      <c r="P1935" s="22"/>
      <c r="Q1935" s="22"/>
      <c r="R1935" s="22"/>
      <c r="S1935" s="37">
        <f t="shared" si="112"/>
        <v>60000</v>
      </c>
      <c r="T1935" s="22">
        <f>SUM(F1935*IF(E1935=_current_year,_current_month,12)-(S1935))</f>
        <v>0</v>
      </c>
    </row>
    <row r="1936" spans="1:39" ht="51.75" customHeight="1" x14ac:dyDescent="0.25">
      <c r="A1936" s="718"/>
      <c r="B1936" s="17"/>
      <c r="C1936" s="463" t="s">
        <v>493</v>
      </c>
      <c r="D1936" s="19"/>
      <c r="E1936" s="30">
        <v>2023</v>
      </c>
      <c r="F1936" s="251">
        <v>5000</v>
      </c>
      <c r="G1936" s="22"/>
      <c r="H1936" s="22"/>
      <c r="I1936" s="22"/>
      <c r="J1936" s="22">
        <v>60000</v>
      </c>
      <c r="K1936" s="22"/>
      <c r="L1936" s="22"/>
      <c r="M1936" s="22"/>
      <c r="N1936" s="22"/>
      <c r="O1936" s="22"/>
      <c r="P1936" s="22"/>
      <c r="Q1936" s="22"/>
      <c r="R1936" s="22"/>
      <c r="S1936" s="37">
        <f t="shared" si="112"/>
        <v>60000</v>
      </c>
      <c r="T1936" s="22">
        <f>SUM(F1936*12)-(S1936)</f>
        <v>0</v>
      </c>
    </row>
    <row r="1937" spans="1:39" s="220" customFormat="1" ht="48" customHeight="1" x14ac:dyDescent="0.4">
      <c r="A1937" s="718"/>
      <c r="B1937" s="33" t="s">
        <v>28</v>
      </c>
      <c r="C1937" s="463" t="s">
        <v>494</v>
      </c>
      <c r="D1937" s="35"/>
      <c r="E1937" s="30">
        <v>2022</v>
      </c>
      <c r="F1937" s="251">
        <v>5000</v>
      </c>
      <c r="G1937" s="36"/>
      <c r="H1937" s="36">
        <v>40000</v>
      </c>
      <c r="I1937" s="36">
        <v>10000</v>
      </c>
      <c r="J1937" s="36"/>
      <c r="K1937" s="36"/>
      <c r="L1937" s="36">
        <v>20000</v>
      </c>
      <c r="M1937" s="36"/>
      <c r="N1937" s="36"/>
      <c r="O1937" s="36"/>
      <c r="P1937" s="36"/>
      <c r="Q1937" s="36"/>
      <c r="R1937" s="36"/>
      <c r="S1937" s="37">
        <f t="shared" si="112"/>
        <v>70000</v>
      </c>
      <c r="T1937" s="37">
        <f t="shared" ref="T1937:T1944" si="113">SUM(60000-S1937)</f>
        <v>-10000</v>
      </c>
      <c r="AM1937" s="250"/>
    </row>
    <row r="1938" spans="1:39" s="220" customFormat="1" ht="51.75" customHeight="1" x14ac:dyDescent="0.4">
      <c r="A1938" s="313" t="s">
        <v>445</v>
      </c>
      <c r="B1938" s="33" t="s">
        <v>28</v>
      </c>
      <c r="C1938" s="38" t="s">
        <v>52</v>
      </c>
      <c r="D1938" s="124"/>
      <c r="E1938" s="30">
        <v>2021</v>
      </c>
      <c r="F1938" s="251">
        <v>5000</v>
      </c>
      <c r="G1938" s="482"/>
      <c r="H1938" s="482"/>
      <c r="I1938" s="482"/>
      <c r="J1938" s="482"/>
      <c r="K1938" s="482"/>
      <c r="L1938" s="482"/>
      <c r="M1938" s="482"/>
      <c r="N1938" s="482"/>
      <c r="O1938" s="482"/>
      <c r="P1938" s="482"/>
      <c r="Q1938" s="482"/>
      <c r="R1938" s="482"/>
      <c r="S1938" s="252">
        <f t="shared" si="112"/>
        <v>0</v>
      </c>
      <c r="T1938" s="252">
        <f t="shared" si="113"/>
        <v>60000</v>
      </c>
      <c r="AM1938" s="250"/>
    </row>
    <row r="1939" spans="1:39" s="523" customFormat="1" ht="51.75" customHeight="1" x14ac:dyDescent="0.35">
      <c r="A1939" s="313"/>
      <c r="B1939" s="523" t="s">
        <v>28</v>
      </c>
      <c r="C1939" s="125"/>
      <c r="D1939" s="126"/>
      <c r="E1939" s="660">
        <v>2020</v>
      </c>
      <c r="F1939" s="251">
        <v>5000</v>
      </c>
      <c r="G1939" s="535"/>
      <c r="H1939" s="535"/>
      <c r="I1939" s="535"/>
      <c r="J1939" s="535"/>
      <c r="K1939" s="535"/>
      <c r="L1939" s="516"/>
      <c r="M1939" s="516"/>
      <c r="N1939" s="516"/>
      <c r="O1939" s="516">
        <v>120000</v>
      </c>
      <c r="P1939" s="516"/>
      <c r="Q1939" s="516"/>
      <c r="R1939" s="516"/>
      <c r="S1939" s="252">
        <f t="shared" si="112"/>
        <v>120000</v>
      </c>
      <c r="T1939" s="257">
        <f t="shared" si="113"/>
        <v>-60000</v>
      </c>
      <c r="AM1939" s="525"/>
    </row>
    <row r="1940" spans="1:39" s="523" customFormat="1" ht="51.75" customHeight="1" x14ac:dyDescent="0.35">
      <c r="A1940" s="719"/>
      <c r="C1940" s="125"/>
      <c r="D1940" s="126"/>
      <c r="E1940" s="660">
        <v>2019</v>
      </c>
      <c r="F1940" s="251">
        <v>5000</v>
      </c>
      <c r="G1940" s="535"/>
      <c r="H1940" s="535"/>
      <c r="I1940" s="535"/>
      <c r="J1940" s="535"/>
      <c r="K1940" s="535"/>
      <c r="L1940" s="516"/>
      <c r="M1940" s="516"/>
      <c r="N1940" s="516"/>
      <c r="O1940" s="516"/>
      <c r="P1940" s="516"/>
      <c r="Q1940" s="516"/>
      <c r="R1940" s="516"/>
      <c r="S1940" s="252">
        <f t="shared" si="112"/>
        <v>0</v>
      </c>
      <c r="T1940" s="257">
        <f t="shared" si="113"/>
        <v>60000</v>
      </c>
      <c r="AM1940" s="525"/>
    </row>
    <row r="1941" spans="1:39" s="523" customFormat="1" ht="51.75" customHeight="1" x14ac:dyDescent="0.35">
      <c r="A1941" s="719"/>
      <c r="C1941" s="125"/>
      <c r="D1941" s="126"/>
      <c r="E1941" s="660">
        <v>2018</v>
      </c>
      <c r="F1941" s="251">
        <v>5000</v>
      </c>
      <c r="G1941" s="516">
        <v>5000</v>
      </c>
      <c r="H1941" s="516">
        <v>5000</v>
      </c>
      <c r="I1941" s="516">
        <v>5000</v>
      </c>
      <c r="J1941" s="516">
        <v>5000</v>
      </c>
      <c r="K1941" s="516">
        <v>5000</v>
      </c>
      <c r="L1941" s="516">
        <v>5000</v>
      </c>
      <c r="M1941" s="516">
        <v>5000</v>
      </c>
      <c r="N1941" s="516">
        <v>5000</v>
      </c>
      <c r="O1941" s="516">
        <v>5000</v>
      </c>
      <c r="P1941" s="516">
        <v>5000</v>
      </c>
      <c r="Q1941" s="516">
        <v>5000</v>
      </c>
      <c r="R1941" s="516">
        <v>5000</v>
      </c>
      <c r="S1941" s="252">
        <f t="shared" si="112"/>
        <v>60000</v>
      </c>
      <c r="T1941" s="257">
        <f t="shared" si="113"/>
        <v>0</v>
      </c>
      <c r="AM1941" s="525"/>
    </row>
    <row r="1942" spans="1:39" s="523" customFormat="1" ht="51.75" customHeight="1" x14ac:dyDescent="0.4">
      <c r="A1942" s="309"/>
      <c r="C1942" s="125"/>
      <c r="D1942" s="126"/>
      <c r="E1942" s="660">
        <v>2017</v>
      </c>
      <c r="F1942" s="251">
        <v>5000</v>
      </c>
      <c r="G1942" s="516">
        <v>5000</v>
      </c>
      <c r="H1942" s="516">
        <v>5000</v>
      </c>
      <c r="I1942" s="516">
        <v>5000</v>
      </c>
      <c r="J1942" s="516">
        <v>5000</v>
      </c>
      <c r="K1942" s="516">
        <v>5000</v>
      </c>
      <c r="L1942" s="516">
        <v>5000</v>
      </c>
      <c r="M1942" s="516">
        <v>5000</v>
      </c>
      <c r="N1942" s="516">
        <v>5000</v>
      </c>
      <c r="O1942" s="516">
        <v>5000</v>
      </c>
      <c r="P1942" s="516">
        <v>5000</v>
      </c>
      <c r="Q1942" s="516">
        <v>5000</v>
      </c>
      <c r="R1942" s="516">
        <v>5000</v>
      </c>
      <c r="S1942" s="252">
        <f t="shared" si="112"/>
        <v>60000</v>
      </c>
      <c r="T1942" s="257">
        <f t="shared" si="113"/>
        <v>0</v>
      </c>
      <c r="AM1942" s="525"/>
    </row>
    <row r="1943" spans="1:39" s="523" customFormat="1" ht="51.75" customHeight="1" x14ac:dyDescent="0.4">
      <c r="A1943" s="309"/>
      <c r="C1943" s="125"/>
      <c r="D1943" s="126"/>
      <c r="E1943" s="660">
        <v>2016</v>
      </c>
      <c r="F1943" s="251">
        <v>5000</v>
      </c>
      <c r="G1943" s="516">
        <v>5000</v>
      </c>
      <c r="H1943" s="516">
        <v>5000</v>
      </c>
      <c r="I1943" s="516">
        <v>5000</v>
      </c>
      <c r="J1943" s="516">
        <v>5000</v>
      </c>
      <c r="K1943" s="516">
        <v>5000</v>
      </c>
      <c r="L1943" s="516">
        <v>5000</v>
      </c>
      <c r="M1943" s="516">
        <v>5000</v>
      </c>
      <c r="N1943" s="516">
        <v>5000</v>
      </c>
      <c r="O1943" s="516">
        <v>5000</v>
      </c>
      <c r="P1943" s="516">
        <v>5000</v>
      </c>
      <c r="Q1943" s="516">
        <v>5000</v>
      </c>
      <c r="R1943" s="516">
        <v>5000</v>
      </c>
      <c r="S1943" s="252">
        <f t="shared" si="112"/>
        <v>60000</v>
      </c>
      <c r="T1943" s="257">
        <f t="shared" si="113"/>
        <v>0</v>
      </c>
      <c r="AM1943" s="525"/>
    </row>
    <row r="1944" spans="1:39" s="523" customFormat="1" ht="51.75" customHeight="1" x14ac:dyDescent="0.4">
      <c r="A1944" s="317"/>
      <c r="C1944" s="129"/>
      <c r="D1944" s="130"/>
      <c r="E1944" s="660">
        <v>2015</v>
      </c>
      <c r="F1944" s="251">
        <v>5000</v>
      </c>
      <c r="G1944" s="516">
        <v>5000</v>
      </c>
      <c r="H1944" s="516">
        <v>5000</v>
      </c>
      <c r="I1944" s="516">
        <v>5000</v>
      </c>
      <c r="J1944" s="516">
        <v>5000</v>
      </c>
      <c r="K1944" s="516">
        <v>5000</v>
      </c>
      <c r="L1944" s="516">
        <v>5000</v>
      </c>
      <c r="M1944" s="516">
        <v>5000</v>
      </c>
      <c r="N1944" s="516">
        <v>5000</v>
      </c>
      <c r="O1944" s="516">
        <v>5000</v>
      </c>
      <c r="P1944" s="516">
        <v>5000</v>
      </c>
      <c r="Q1944" s="516">
        <v>5000</v>
      </c>
      <c r="R1944" s="516">
        <v>5000</v>
      </c>
      <c r="S1944" s="252">
        <f t="shared" si="112"/>
        <v>60000</v>
      </c>
      <c r="T1944" s="257">
        <f t="shared" si="113"/>
        <v>0</v>
      </c>
      <c r="AM1944" s="525"/>
    </row>
    <row r="1945" spans="1:39" s="523" customFormat="1" ht="51.75" customHeight="1" thickBot="1" x14ac:dyDescent="0.45">
      <c r="A1945" s="253"/>
      <c r="C1945" s="658"/>
      <c r="D1945" s="659"/>
      <c r="E1945" s="526"/>
      <c r="F1945" s="265"/>
      <c r="G1945" s="489"/>
      <c r="H1945" s="489"/>
      <c r="I1945" s="489"/>
      <c r="J1945" s="489"/>
      <c r="K1945" s="489"/>
      <c r="L1945" s="489"/>
      <c r="M1945" s="489"/>
      <c r="N1945" s="489"/>
      <c r="O1945" s="489"/>
      <c r="P1945" s="489"/>
      <c r="Q1945" s="489"/>
      <c r="R1945" s="489"/>
      <c r="S1945" s="178">
        <f>SUM(S1934:S1944)</f>
        <v>690000</v>
      </c>
      <c r="T1945" s="87">
        <f>SUM(T1934:T1944)</f>
        <v>30000</v>
      </c>
      <c r="AM1945" s="525"/>
    </row>
    <row r="1946" spans="1:39" s="523" customFormat="1" ht="51.75" customHeight="1" x14ac:dyDescent="0.45">
      <c r="A1946" s="253"/>
      <c r="C1946" s="658"/>
      <c r="D1946" s="659"/>
      <c r="F1946" s="253"/>
      <c r="G1946" s="512"/>
      <c r="H1946" s="512"/>
      <c r="I1946" s="512"/>
      <c r="J1946" s="512"/>
      <c r="K1946" s="512"/>
      <c r="L1946" s="512"/>
      <c r="M1946" s="512"/>
      <c r="N1946" s="512"/>
      <c r="O1946" s="512"/>
      <c r="P1946" s="512"/>
      <c r="Q1946" s="512"/>
      <c r="R1946" s="512"/>
      <c r="S1946" s="269"/>
      <c r="T1946" s="269"/>
      <c r="AM1946" s="525"/>
    </row>
    <row r="1947" spans="1:39" s="374" customFormat="1" ht="51.6" customHeight="1" x14ac:dyDescent="0.4">
      <c r="A1947" s="241" t="s">
        <v>6</v>
      </c>
      <c r="B1947" s="368" t="s">
        <v>7</v>
      </c>
      <c r="C1947" s="369" t="s">
        <v>8</v>
      </c>
      <c r="D1947" s="518" t="s">
        <v>231</v>
      </c>
      <c r="E1947" s="371" t="s">
        <v>10</v>
      </c>
      <c r="F1947" s="372" t="s">
        <v>11</v>
      </c>
      <c r="G1947" s="476" t="s">
        <v>12</v>
      </c>
      <c r="H1947" s="476" t="s">
        <v>13</v>
      </c>
      <c r="I1947" s="476" t="s">
        <v>14</v>
      </c>
      <c r="J1947" s="476" t="s">
        <v>15</v>
      </c>
      <c r="K1947" s="476" t="s">
        <v>16</v>
      </c>
      <c r="L1947" s="476" t="s">
        <v>17</v>
      </c>
      <c r="M1947" s="476" t="s">
        <v>18</v>
      </c>
      <c r="N1947" s="476" t="s">
        <v>19</v>
      </c>
      <c r="O1947" s="476" t="s">
        <v>20</v>
      </c>
      <c r="P1947" s="476" t="s">
        <v>21</v>
      </c>
      <c r="Q1947" s="476" t="s">
        <v>22</v>
      </c>
      <c r="R1947" s="476" t="s">
        <v>23</v>
      </c>
      <c r="S1947" s="20" t="s">
        <v>24</v>
      </c>
      <c r="T1947" s="20" t="s">
        <v>25</v>
      </c>
      <c r="AM1947" s="375"/>
    </row>
    <row r="1948" spans="1:39" ht="51.75" customHeight="1" x14ac:dyDescent="0.25">
      <c r="A1948" s="717" t="s">
        <v>495</v>
      </c>
      <c r="B1948" s="17"/>
      <c r="C1948" s="654" t="s">
        <v>496</v>
      </c>
      <c r="D1948" s="19"/>
      <c r="E1948" s="26">
        <v>2025</v>
      </c>
      <c r="F1948" s="27">
        <v>10000</v>
      </c>
      <c r="G1948" s="22"/>
      <c r="H1948" s="22"/>
      <c r="I1948" s="173">
        <v>120000</v>
      </c>
      <c r="J1948" s="22"/>
      <c r="K1948" s="22"/>
      <c r="L1948" s="22"/>
      <c r="M1948" s="22"/>
      <c r="N1948" s="22"/>
      <c r="O1948" s="22">
        <v>30000</v>
      </c>
      <c r="P1948" s="22"/>
      <c r="Q1948" s="22"/>
      <c r="R1948" s="22"/>
      <c r="S1948" s="64">
        <f t="shared" ref="S1948:S1958" si="114">SUM(G1948:R1948)</f>
        <v>150000</v>
      </c>
      <c r="T1948" s="29">
        <f>SUM(F1948*IF(E1948=_current_year,_current_month,12)-(S1948))</f>
        <v>-30000</v>
      </c>
    </row>
    <row r="1949" spans="1:39" ht="51.75" customHeight="1" x14ac:dyDescent="0.25">
      <c r="A1949" s="718"/>
      <c r="B1949" s="17"/>
      <c r="C1949" s="657"/>
      <c r="D1949" s="19"/>
      <c r="E1949" s="30">
        <v>2024</v>
      </c>
      <c r="F1949" s="27">
        <v>5000</v>
      </c>
      <c r="G1949" s="22"/>
      <c r="H1949" s="22">
        <v>60000</v>
      </c>
      <c r="I1949" s="22"/>
      <c r="J1949" s="22"/>
      <c r="K1949" s="22"/>
      <c r="L1949" s="22"/>
      <c r="M1949" s="22"/>
      <c r="N1949" s="22"/>
      <c r="O1949" s="22"/>
      <c r="P1949" s="22"/>
      <c r="Q1949" s="22"/>
      <c r="R1949" s="22"/>
      <c r="S1949" s="37">
        <f t="shared" si="114"/>
        <v>60000</v>
      </c>
      <c r="T1949" s="22">
        <f>SUM(F1949*IF(E1949=_current_year,_current_month,12)-(S1949))</f>
        <v>0</v>
      </c>
    </row>
    <row r="1950" spans="1:39" ht="51.75" customHeight="1" x14ac:dyDescent="0.25">
      <c r="A1950" s="718"/>
      <c r="B1950" s="17"/>
      <c r="C1950" s="687" t="s">
        <v>497</v>
      </c>
      <c r="D1950" s="19"/>
      <c r="E1950" s="30">
        <v>2023</v>
      </c>
      <c r="F1950" s="27">
        <v>5000</v>
      </c>
      <c r="G1950" s="22"/>
      <c r="H1950" s="22"/>
      <c r="I1950" s="22"/>
      <c r="J1950" s="22"/>
      <c r="K1950" s="22"/>
      <c r="L1950" s="22"/>
      <c r="M1950" s="22"/>
      <c r="N1950" s="22"/>
      <c r="O1950" s="22"/>
      <c r="P1950" s="22"/>
      <c r="Q1950" s="22"/>
      <c r="R1950" s="22"/>
      <c r="S1950" s="37">
        <f t="shared" si="114"/>
        <v>0</v>
      </c>
      <c r="T1950" s="22">
        <f>SUM(F1950*IF(E1950=_current_year,_current_month,12)-(S1950))</f>
        <v>60000</v>
      </c>
    </row>
    <row r="1951" spans="1:39" s="220" customFormat="1" ht="48" customHeight="1" x14ac:dyDescent="0.4">
      <c r="A1951" s="718"/>
      <c r="B1951" s="33" t="s">
        <v>28</v>
      </c>
      <c r="C1951" s="34"/>
      <c r="D1951" s="35"/>
      <c r="E1951" s="30">
        <v>2022</v>
      </c>
      <c r="F1951" s="251">
        <v>5000</v>
      </c>
      <c r="G1951" s="36"/>
      <c r="H1951" s="36"/>
      <c r="I1951" s="36">
        <v>60000</v>
      </c>
      <c r="J1951" s="36"/>
      <c r="K1951" s="36"/>
      <c r="L1951" s="36"/>
      <c r="M1951" s="36"/>
      <c r="N1951" s="36"/>
      <c r="O1951" s="36"/>
      <c r="P1951" s="36"/>
      <c r="Q1951" s="36"/>
      <c r="R1951" s="36"/>
      <c r="S1951" s="37">
        <f t="shared" si="114"/>
        <v>60000</v>
      </c>
      <c r="T1951" s="37">
        <f t="shared" ref="T1951:T1958" si="115">SUM(60000-S1951)</f>
        <v>0</v>
      </c>
      <c r="AM1951" s="250"/>
    </row>
    <row r="1952" spans="1:39" s="220" customFormat="1" ht="51.75" customHeight="1" x14ac:dyDescent="0.4">
      <c r="A1952" s="313" t="s">
        <v>445</v>
      </c>
      <c r="B1952" s="33" t="s">
        <v>28</v>
      </c>
      <c r="C1952" s="38" t="s">
        <v>52</v>
      </c>
      <c r="D1952" s="124"/>
      <c r="E1952" s="30">
        <v>2021</v>
      </c>
      <c r="F1952" s="251">
        <v>5000</v>
      </c>
      <c r="G1952" s="482"/>
      <c r="H1952" s="482"/>
      <c r="I1952" s="482"/>
      <c r="J1952" s="482"/>
      <c r="K1952" s="482"/>
      <c r="L1952" s="482"/>
      <c r="M1952" s="482"/>
      <c r="N1952" s="482">
        <v>30000</v>
      </c>
      <c r="O1952" s="482"/>
      <c r="P1952" s="482"/>
      <c r="Q1952" s="482"/>
      <c r="R1952" s="482">
        <v>30000</v>
      </c>
      <c r="S1952" s="252">
        <f t="shared" si="114"/>
        <v>60000</v>
      </c>
      <c r="T1952" s="252">
        <f t="shared" si="115"/>
        <v>0</v>
      </c>
      <c r="AM1952" s="250"/>
    </row>
    <row r="1953" spans="1:39" s="523" customFormat="1" ht="51.75" customHeight="1" x14ac:dyDescent="0.35">
      <c r="A1953" s="313"/>
      <c r="B1953" s="523" t="s">
        <v>28</v>
      </c>
      <c r="C1953" s="125"/>
      <c r="D1953" s="126"/>
      <c r="E1953" s="660">
        <v>2020</v>
      </c>
      <c r="F1953" s="251">
        <v>5000</v>
      </c>
      <c r="G1953" s="516">
        <v>60000</v>
      </c>
      <c r="H1953" s="516"/>
      <c r="I1953" s="516"/>
      <c r="J1953" s="516"/>
      <c r="K1953" s="516"/>
      <c r="L1953" s="516"/>
      <c r="M1953" s="516"/>
      <c r="N1953" s="516"/>
      <c r="O1953" s="516"/>
      <c r="P1953" s="516"/>
      <c r="Q1953" s="516"/>
      <c r="R1953" s="516"/>
      <c r="S1953" s="252">
        <f t="shared" si="114"/>
        <v>60000</v>
      </c>
      <c r="T1953" s="257">
        <f t="shared" si="115"/>
        <v>0</v>
      </c>
      <c r="AM1953" s="525"/>
    </row>
    <row r="1954" spans="1:39" s="523" customFormat="1" ht="51.75" customHeight="1" x14ac:dyDescent="0.35">
      <c r="A1954" s="719"/>
      <c r="C1954" s="125"/>
      <c r="D1954" s="126"/>
      <c r="E1954" s="660">
        <v>2019</v>
      </c>
      <c r="F1954" s="251">
        <v>5000</v>
      </c>
      <c r="G1954" s="516">
        <v>5000</v>
      </c>
      <c r="H1954" s="516">
        <v>5000</v>
      </c>
      <c r="I1954" s="516">
        <v>5000</v>
      </c>
      <c r="J1954" s="516">
        <v>5000</v>
      </c>
      <c r="K1954" s="516">
        <v>5000</v>
      </c>
      <c r="L1954" s="516">
        <v>5000</v>
      </c>
      <c r="M1954" s="516">
        <v>5000</v>
      </c>
      <c r="N1954" s="516">
        <v>5000</v>
      </c>
      <c r="O1954" s="516">
        <v>5000</v>
      </c>
      <c r="P1954" s="516">
        <v>5000</v>
      </c>
      <c r="Q1954" s="516">
        <v>5000</v>
      </c>
      <c r="R1954" s="516">
        <v>5000</v>
      </c>
      <c r="S1954" s="252">
        <f t="shared" si="114"/>
        <v>60000</v>
      </c>
      <c r="T1954" s="257">
        <f t="shared" si="115"/>
        <v>0</v>
      </c>
      <c r="AM1954" s="525"/>
    </row>
    <row r="1955" spans="1:39" s="523" customFormat="1" ht="51.75" customHeight="1" x14ac:dyDescent="0.35">
      <c r="A1955" s="719"/>
      <c r="C1955" s="125"/>
      <c r="D1955" s="126"/>
      <c r="E1955" s="660">
        <v>2018</v>
      </c>
      <c r="F1955" s="251">
        <v>5000</v>
      </c>
      <c r="G1955" s="516">
        <v>5000</v>
      </c>
      <c r="H1955" s="516">
        <v>5000</v>
      </c>
      <c r="I1955" s="516">
        <v>5000</v>
      </c>
      <c r="J1955" s="516">
        <v>5000</v>
      </c>
      <c r="K1955" s="516">
        <v>5000</v>
      </c>
      <c r="L1955" s="516">
        <v>5000</v>
      </c>
      <c r="M1955" s="516">
        <v>5000</v>
      </c>
      <c r="N1955" s="516">
        <v>5000</v>
      </c>
      <c r="O1955" s="516">
        <v>5000</v>
      </c>
      <c r="P1955" s="516">
        <v>5000</v>
      </c>
      <c r="Q1955" s="516">
        <v>5000</v>
      </c>
      <c r="R1955" s="516">
        <v>5000</v>
      </c>
      <c r="S1955" s="252">
        <f t="shared" si="114"/>
        <v>60000</v>
      </c>
      <c r="T1955" s="257">
        <f t="shared" si="115"/>
        <v>0</v>
      </c>
      <c r="AM1955" s="525"/>
    </row>
    <row r="1956" spans="1:39" s="523" customFormat="1" ht="51.75" customHeight="1" x14ac:dyDescent="0.4">
      <c r="A1956" s="309"/>
      <c r="C1956" s="125"/>
      <c r="D1956" s="126"/>
      <c r="E1956" s="660">
        <v>2017</v>
      </c>
      <c r="F1956" s="251">
        <v>5000</v>
      </c>
      <c r="G1956" s="516">
        <v>5000</v>
      </c>
      <c r="H1956" s="516">
        <v>5000</v>
      </c>
      <c r="I1956" s="516">
        <v>5000</v>
      </c>
      <c r="J1956" s="516">
        <v>5000</v>
      </c>
      <c r="K1956" s="516">
        <v>5000</v>
      </c>
      <c r="L1956" s="516">
        <v>5000</v>
      </c>
      <c r="M1956" s="516">
        <v>5000</v>
      </c>
      <c r="N1956" s="516">
        <v>5000</v>
      </c>
      <c r="O1956" s="516">
        <v>5000</v>
      </c>
      <c r="P1956" s="516">
        <v>5000</v>
      </c>
      <c r="Q1956" s="516">
        <v>5000</v>
      </c>
      <c r="R1956" s="516">
        <v>5000</v>
      </c>
      <c r="S1956" s="252">
        <f t="shared" si="114"/>
        <v>60000</v>
      </c>
      <c r="T1956" s="257">
        <f t="shared" si="115"/>
        <v>0</v>
      </c>
      <c r="AM1956" s="525"/>
    </row>
    <row r="1957" spans="1:39" s="523" customFormat="1" ht="51.75" customHeight="1" x14ac:dyDescent="0.4">
      <c r="A1957" s="309"/>
      <c r="C1957" s="125"/>
      <c r="D1957" s="126"/>
      <c r="E1957" s="660">
        <v>2016</v>
      </c>
      <c r="F1957" s="251">
        <v>5000</v>
      </c>
      <c r="G1957" s="516">
        <v>5000</v>
      </c>
      <c r="H1957" s="516">
        <v>5000</v>
      </c>
      <c r="I1957" s="516">
        <v>5000</v>
      </c>
      <c r="J1957" s="516">
        <v>5000</v>
      </c>
      <c r="K1957" s="516">
        <v>5000</v>
      </c>
      <c r="L1957" s="516">
        <v>5000</v>
      </c>
      <c r="M1957" s="516">
        <v>5000</v>
      </c>
      <c r="N1957" s="516">
        <v>5000</v>
      </c>
      <c r="O1957" s="516">
        <v>5000</v>
      </c>
      <c r="P1957" s="516">
        <v>5000</v>
      </c>
      <c r="Q1957" s="516">
        <v>5000</v>
      </c>
      <c r="R1957" s="516">
        <v>5000</v>
      </c>
      <c r="S1957" s="252">
        <f t="shared" si="114"/>
        <v>60000</v>
      </c>
      <c r="T1957" s="257">
        <f t="shared" si="115"/>
        <v>0</v>
      </c>
      <c r="AM1957" s="525"/>
    </row>
    <row r="1958" spans="1:39" s="523" customFormat="1" ht="51.75" customHeight="1" x14ac:dyDescent="0.4">
      <c r="A1958" s="317"/>
      <c r="C1958" s="129"/>
      <c r="D1958" s="130"/>
      <c r="E1958" s="660">
        <v>2015</v>
      </c>
      <c r="F1958" s="251">
        <v>5000</v>
      </c>
      <c r="G1958" s="516">
        <v>5000</v>
      </c>
      <c r="H1958" s="516">
        <v>5000</v>
      </c>
      <c r="I1958" s="516">
        <v>5000</v>
      </c>
      <c r="J1958" s="516">
        <v>5000</v>
      </c>
      <c r="K1958" s="516">
        <v>5000</v>
      </c>
      <c r="L1958" s="516">
        <v>5000</v>
      </c>
      <c r="M1958" s="516">
        <v>5000</v>
      </c>
      <c r="N1958" s="516">
        <v>5000</v>
      </c>
      <c r="O1958" s="516">
        <v>5000</v>
      </c>
      <c r="P1958" s="516">
        <v>5000</v>
      </c>
      <c r="Q1958" s="516">
        <v>5000</v>
      </c>
      <c r="R1958" s="516">
        <v>5000</v>
      </c>
      <c r="S1958" s="252">
        <f t="shared" si="114"/>
        <v>60000</v>
      </c>
      <c r="T1958" s="257">
        <f t="shared" si="115"/>
        <v>0</v>
      </c>
      <c r="AM1958" s="525"/>
    </row>
    <row r="1959" spans="1:39" s="523" customFormat="1" ht="51.75" customHeight="1" thickBot="1" x14ac:dyDescent="0.45">
      <c r="A1959" s="253"/>
      <c r="C1959" s="658"/>
      <c r="D1959" s="659"/>
      <c r="E1959" s="526"/>
      <c r="F1959" s="265"/>
      <c r="G1959" s="489"/>
      <c r="H1959" s="489"/>
      <c r="I1959" s="489"/>
      <c r="J1959" s="489"/>
      <c r="K1959" s="489"/>
      <c r="L1959" s="489"/>
      <c r="M1959" s="489"/>
      <c r="N1959" s="489"/>
      <c r="O1959" s="489"/>
      <c r="P1959" s="489"/>
      <c r="Q1959" s="489"/>
      <c r="R1959" s="489"/>
      <c r="S1959" s="178">
        <f>SUM(S1948:S1958)</f>
        <v>690000</v>
      </c>
      <c r="T1959" s="87">
        <f>SUM(T1948:T1958)</f>
        <v>30000</v>
      </c>
      <c r="AM1959" s="525"/>
    </row>
    <row r="1960" spans="1:39" s="523" customFormat="1" ht="51.75" customHeight="1" x14ac:dyDescent="0.45">
      <c r="A1960" s="253"/>
      <c r="C1960" s="658"/>
      <c r="D1960" s="659"/>
      <c r="F1960" s="253"/>
      <c r="G1960" s="512"/>
      <c r="H1960" s="512"/>
      <c r="I1960" s="512"/>
      <c r="J1960" s="512"/>
      <c r="K1960" s="512"/>
      <c r="L1960" s="512"/>
      <c r="M1960" s="512"/>
      <c r="N1960" s="512"/>
      <c r="O1960" s="512"/>
      <c r="P1960" s="512"/>
      <c r="Q1960" s="512"/>
      <c r="R1960" s="512"/>
      <c r="S1960" s="269"/>
      <c r="T1960" s="269"/>
      <c r="AM1960" s="525"/>
    </row>
    <row r="1961" spans="1:39" s="523" customFormat="1" ht="51.75" customHeight="1" x14ac:dyDescent="0.45">
      <c r="A1961" s="253"/>
      <c r="C1961" s="658"/>
      <c r="D1961" s="659"/>
      <c r="F1961" s="253"/>
      <c r="G1961" s="512"/>
      <c r="H1961" s="512"/>
      <c r="I1961" s="512"/>
      <c r="J1961" s="512"/>
      <c r="K1961" s="512"/>
      <c r="L1961" s="512"/>
      <c r="M1961" s="512"/>
      <c r="N1961" s="512"/>
      <c r="O1961" s="512"/>
      <c r="P1961" s="512"/>
      <c r="Q1961" s="512"/>
      <c r="R1961" s="512"/>
      <c r="S1961" s="269"/>
      <c r="T1961" s="269"/>
      <c r="AM1961" s="525"/>
    </row>
    <row r="1962" spans="1:39" s="374" customFormat="1" ht="51.75" customHeight="1" x14ac:dyDescent="0.4">
      <c r="A1962" s="241" t="s">
        <v>6</v>
      </c>
      <c r="B1962" s="368" t="s">
        <v>7</v>
      </c>
      <c r="C1962" s="369" t="s">
        <v>8</v>
      </c>
      <c r="D1962" s="518" t="s">
        <v>231</v>
      </c>
      <c r="E1962" s="371" t="s">
        <v>10</v>
      </c>
      <c r="F1962" s="372" t="s">
        <v>11</v>
      </c>
      <c r="G1962" s="476" t="s">
        <v>12</v>
      </c>
      <c r="H1962" s="476" t="s">
        <v>13</v>
      </c>
      <c r="I1962" s="476" t="s">
        <v>14</v>
      </c>
      <c r="J1962" s="476" t="s">
        <v>15</v>
      </c>
      <c r="K1962" s="476" t="s">
        <v>16</v>
      </c>
      <c r="L1962" s="476" t="s">
        <v>17</v>
      </c>
      <c r="M1962" s="476" t="s">
        <v>18</v>
      </c>
      <c r="N1962" s="476" t="s">
        <v>19</v>
      </c>
      <c r="O1962" s="476" t="s">
        <v>20</v>
      </c>
      <c r="P1962" s="476" t="s">
        <v>21</v>
      </c>
      <c r="Q1962" s="476" t="s">
        <v>22</v>
      </c>
      <c r="R1962" s="476" t="s">
        <v>23</v>
      </c>
      <c r="S1962" s="20" t="s">
        <v>24</v>
      </c>
      <c r="T1962" s="20" t="s">
        <v>25</v>
      </c>
      <c r="AM1962" s="375"/>
    </row>
    <row r="1963" spans="1:39" ht="51.75" customHeight="1" x14ac:dyDescent="0.25">
      <c r="A1963" s="720">
        <v>15</v>
      </c>
      <c r="B1963" s="17"/>
      <c r="C1963" s="654" t="s">
        <v>498</v>
      </c>
      <c r="D1963" s="19"/>
      <c r="E1963" s="26">
        <v>2026</v>
      </c>
      <c r="F1963" s="27">
        <v>10000</v>
      </c>
      <c r="G1963" s="516">
        <v>10000</v>
      </c>
      <c r="H1963" s="516"/>
      <c r="I1963" s="36"/>
      <c r="J1963" s="22"/>
      <c r="K1963" s="22"/>
      <c r="L1963" s="22"/>
      <c r="M1963" s="22"/>
      <c r="N1963" s="22"/>
      <c r="O1963" s="22"/>
      <c r="P1963" s="22"/>
      <c r="Q1963" s="22"/>
      <c r="R1963" s="22"/>
      <c r="S1963" s="64">
        <f t="shared" ref="S1963:S1974" si="116">SUM(G1963:R1963)</f>
        <v>10000</v>
      </c>
      <c r="T1963" s="29">
        <f ca="1">SUM(F1963*IF(E1963=_current_year,_current_month,12)-(S1963))</f>
        <v>0</v>
      </c>
    </row>
    <row r="1964" spans="1:39" ht="51.75" customHeight="1" x14ac:dyDescent="0.25">
      <c r="A1964" s="721"/>
      <c r="B1964" s="17"/>
      <c r="C1964" s="656"/>
      <c r="D1964" s="19"/>
      <c r="E1964" s="26">
        <v>2025</v>
      </c>
      <c r="F1964" s="27">
        <v>10000</v>
      </c>
      <c r="G1964" s="516">
        <v>10000</v>
      </c>
      <c r="H1964" s="516">
        <v>10000</v>
      </c>
      <c r="I1964" s="36">
        <v>10000</v>
      </c>
      <c r="J1964" s="22">
        <v>10000</v>
      </c>
      <c r="K1964" s="22">
        <v>10000</v>
      </c>
      <c r="L1964" s="22">
        <v>10000</v>
      </c>
      <c r="M1964" s="22">
        <v>10000</v>
      </c>
      <c r="N1964" s="22">
        <v>10000</v>
      </c>
      <c r="O1964" s="22">
        <v>10000</v>
      </c>
      <c r="P1964" s="22">
        <v>10000</v>
      </c>
      <c r="Q1964" s="22">
        <v>10000</v>
      </c>
      <c r="R1964" s="22">
        <v>10000</v>
      </c>
      <c r="S1964" s="64">
        <f t="shared" ref="S1964" si="117">SUM(G1964:R1964)</f>
        <v>120000</v>
      </c>
      <c r="T1964" s="29">
        <f>SUM(F1964*IF(E1964=_current_year,_current_month,12)-(S1964))</f>
        <v>0</v>
      </c>
    </row>
    <row r="1965" spans="1:39" ht="51.75" customHeight="1" x14ac:dyDescent="0.25">
      <c r="A1965" s="721"/>
      <c r="B1965" s="17"/>
      <c r="C1965" s="657"/>
      <c r="D1965" s="19"/>
      <c r="E1965" s="30">
        <v>2024</v>
      </c>
      <c r="F1965" s="27">
        <v>5000</v>
      </c>
      <c r="G1965" s="516">
        <v>5000</v>
      </c>
      <c r="H1965" s="516">
        <v>5000</v>
      </c>
      <c r="I1965" s="36">
        <v>5000</v>
      </c>
      <c r="J1965" s="22">
        <v>5000</v>
      </c>
      <c r="K1965" s="22">
        <v>5000</v>
      </c>
      <c r="L1965" s="22">
        <v>5000</v>
      </c>
      <c r="M1965" s="22">
        <v>5000</v>
      </c>
      <c r="N1965" s="22">
        <v>5000</v>
      </c>
      <c r="O1965" s="22">
        <v>5000</v>
      </c>
      <c r="P1965" s="22">
        <v>5000</v>
      </c>
      <c r="Q1965" s="22">
        <v>5000</v>
      </c>
      <c r="R1965" s="22">
        <v>5000</v>
      </c>
      <c r="S1965" s="37">
        <f t="shared" si="116"/>
        <v>60000</v>
      </c>
      <c r="T1965" s="22">
        <f>SUM(F1965*IF(E1965=_current_year,_current_month,12)-(S1965))</f>
        <v>0</v>
      </c>
    </row>
    <row r="1966" spans="1:39" ht="51.75" customHeight="1" x14ac:dyDescent="0.6">
      <c r="A1966" s="721"/>
      <c r="B1966" s="17"/>
      <c r="C1966" s="687"/>
      <c r="D1966" s="19"/>
      <c r="E1966" s="30">
        <v>2023</v>
      </c>
      <c r="F1966" s="27">
        <v>5000</v>
      </c>
      <c r="G1966" s="516">
        <v>5000</v>
      </c>
      <c r="H1966" s="516">
        <v>5000</v>
      </c>
      <c r="I1966" s="36">
        <v>5000</v>
      </c>
      <c r="J1966" s="22">
        <v>5000</v>
      </c>
      <c r="K1966" s="22">
        <v>5000</v>
      </c>
      <c r="L1966" s="22">
        <v>5000</v>
      </c>
      <c r="M1966" s="22">
        <v>5000</v>
      </c>
      <c r="N1966" s="22">
        <v>5000</v>
      </c>
      <c r="O1966" s="22">
        <v>5000</v>
      </c>
      <c r="P1966" s="57">
        <v>5000</v>
      </c>
      <c r="Q1966" s="22">
        <v>5000</v>
      </c>
      <c r="R1966" s="22">
        <v>5000</v>
      </c>
      <c r="S1966" s="37">
        <f t="shared" si="116"/>
        <v>60000</v>
      </c>
      <c r="T1966" s="22">
        <f>SUM(F1966*12)-(S1966)</f>
        <v>0</v>
      </c>
    </row>
    <row r="1967" spans="1:39" s="220" customFormat="1" ht="48" customHeight="1" x14ac:dyDescent="0.4">
      <c r="A1967" s="721"/>
      <c r="B1967" s="33" t="s">
        <v>28</v>
      </c>
      <c r="C1967" s="85" t="s">
        <v>499</v>
      </c>
      <c r="D1967" s="35"/>
      <c r="E1967" s="30">
        <v>2022</v>
      </c>
      <c r="F1967" s="251">
        <v>5000</v>
      </c>
      <c r="G1967" s="516">
        <v>5000</v>
      </c>
      <c r="H1967" s="36">
        <v>5000</v>
      </c>
      <c r="I1967" s="36">
        <v>5000</v>
      </c>
      <c r="J1967" s="36">
        <v>5000</v>
      </c>
      <c r="K1967" s="36">
        <v>5000</v>
      </c>
      <c r="L1967" s="36">
        <v>5000</v>
      </c>
      <c r="M1967" s="36">
        <v>5000</v>
      </c>
      <c r="N1967" s="36">
        <v>5000</v>
      </c>
      <c r="O1967" s="36">
        <v>5000</v>
      </c>
      <c r="P1967" s="36">
        <v>5000</v>
      </c>
      <c r="Q1967" s="36">
        <v>5000</v>
      </c>
      <c r="R1967" s="36">
        <v>5000</v>
      </c>
      <c r="S1967" s="37">
        <f t="shared" si="116"/>
        <v>60000</v>
      </c>
      <c r="T1967" s="22">
        <f t="shared" ref="T1967:T1974" si="118">SUM(60000-S1967)</f>
        <v>0</v>
      </c>
      <c r="AM1967" s="250"/>
    </row>
    <row r="1968" spans="1:39" s="220" customFormat="1" ht="51.75" customHeight="1" x14ac:dyDescent="0.4">
      <c r="A1968" s="313" t="s">
        <v>445</v>
      </c>
      <c r="B1968" s="33" t="s">
        <v>28</v>
      </c>
      <c r="C1968" s="38" t="s">
        <v>52</v>
      </c>
      <c r="D1968" s="124"/>
      <c r="E1968" s="30">
        <v>2021</v>
      </c>
      <c r="F1968" s="251">
        <v>5000</v>
      </c>
      <c r="G1968" s="516">
        <v>5000</v>
      </c>
      <c r="H1968" s="516">
        <v>5000</v>
      </c>
      <c r="I1968" s="516">
        <v>5000</v>
      </c>
      <c r="J1968" s="516">
        <v>5000</v>
      </c>
      <c r="K1968" s="516">
        <v>5000</v>
      </c>
      <c r="L1968" s="516">
        <v>5000</v>
      </c>
      <c r="M1968" s="482">
        <v>5000</v>
      </c>
      <c r="N1968" s="482">
        <v>5000</v>
      </c>
      <c r="O1968" s="482">
        <v>5000</v>
      </c>
      <c r="P1968" s="516">
        <v>5000</v>
      </c>
      <c r="Q1968" s="516">
        <v>5000</v>
      </c>
      <c r="R1968" s="516">
        <v>5000</v>
      </c>
      <c r="S1968" s="252">
        <f t="shared" si="116"/>
        <v>60000</v>
      </c>
      <c r="T1968" s="252">
        <f t="shared" si="118"/>
        <v>0</v>
      </c>
      <c r="AM1968" s="250"/>
    </row>
    <row r="1969" spans="1:39" s="523" customFormat="1" ht="51.75" customHeight="1" x14ac:dyDescent="0.35">
      <c r="A1969" s="313"/>
      <c r="B1969" s="523" t="s">
        <v>28</v>
      </c>
      <c r="C1969" s="125"/>
      <c r="D1969" s="126"/>
      <c r="E1969" s="660">
        <v>2020</v>
      </c>
      <c r="F1969" s="251">
        <v>5000</v>
      </c>
      <c r="G1969" s="516">
        <v>5000</v>
      </c>
      <c r="H1969" s="516">
        <v>5000</v>
      </c>
      <c r="I1969" s="516">
        <v>5000</v>
      </c>
      <c r="J1969" s="535"/>
      <c r="K1969" s="516">
        <v>10000</v>
      </c>
      <c r="L1969" s="516">
        <v>5000</v>
      </c>
      <c r="M1969" s="516">
        <v>5000</v>
      </c>
      <c r="N1969" s="516">
        <v>5000</v>
      </c>
      <c r="O1969" s="516">
        <v>5000</v>
      </c>
      <c r="P1969" s="516">
        <v>5000</v>
      </c>
      <c r="Q1969" s="516">
        <v>5000</v>
      </c>
      <c r="R1969" s="516">
        <v>5000</v>
      </c>
      <c r="S1969" s="252">
        <f t="shared" si="116"/>
        <v>60000</v>
      </c>
      <c r="T1969" s="257">
        <f t="shared" si="118"/>
        <v>0</v>
      </c>
      <c r="AM1969" s="525"/>
    </row>
    <row r="1970" spans="1:39" s="523" customFormat="1" ht="51.75" customHeight="1" x14ac:dyDescent="0.35">
      <c r="A1970" s="722"/>
      <c r="C1970" s="125"/>
      <c r="D1970" s="126"/>
      <c r="E1970" s="660">
        <v>2019</v>
      </c>
      <c r="F1970" s="251">
        <v>5000</v>
      </c>
      <c r="G1970" s="516">
        <v>5000</v>
      </c>
      <c r="H1970" s="516">
        <v>5000</v>
      </c>
      <c r="I1970" s="516">
        <v>5000</v>
      </c>
      <c r="J1970" s="516">
        <v>5000</v>
      </c>
      <c r="K1970" s="516">
        <v>5000</v>
      </c>
      <c r="L1970" s="516">
        <v>5000</v>
      </c>
      <c r="M1970" s="516">
        <v>5000</v>
      </c>
      <c r="N1970" s="516">
        <v>5000</v>
      </c>
      <c r="O1970" s="516">
        <v>5000</v>
      </c>
      <c r="P1970" s="516">
        <v>5000</v>
      </c>
      <c r="Q1970" s="516">
        <v>5000</v>
      </c>
      <c r="R1970" s="516">
        <v>5000</v>
      </c>
      <c r="S1970" s="252">
        <f t="shared" si="116"/>
        <v>60000</v>
      </c>
      <c r="T1970" s="257">
        <f t="shared" si="118"/>
        <v>0</v>
      </c>
      <c r="AM1970" s="525"/>
    </row>
    <row r="1971" spans="1:39" s="523" customFormat="1" ht="51.75" customHeight="1" x14ac:dyDescent="0.4">
      <c r="A1971" s="309"/>
      <c r="C1971" s="125"/>
      <c r="D1971" s="126"/>
      <c r="E1971" s="660">
        <v>2018</v>
      </c>
      <c r="F1971" s="251">
        <v>5000</v>
      </c>
      <c r="G1971" s="516">
        <v>5000</v>
      </c>
      <c r="H1971" s="516">
        <v>5000</v>
      </c>
      <c r="I1971" s="516">
        <v>5000</v>
      </c>
      <c r="J1971" s="516">
        <v>5000</v>
      </c>
      <c r="K1971" s="516">
        <v>5000</v>
      </c>
      <c r="L1971" s="516">
        <v>5000</v>
      </c>
      <c r="M1971" s="516">
        <v>5000</v>
      </c>
      <c r="N1971" s="516">
        <v>5000</v>
      </c>
      <c r="O1971" s="516">
        <v>5000</v>
      </c>
      <c r="P1971" s="516">
        <v>5000</v>
      </c>
      <c r="Q1971" s="516">
        <v>5000</v>
      </c>
      <c r="R1971" s="516">
        <v>5000</v>
      </c>
      <c r="S1971" s="252">
        <f t="shared" si="116"/>
        <v>60000</v>
      </c>
      <c r="T1971" s="257">
        <f t="shared" si="118"/>
        <v>0</v>
      </c>
      <c r="AM1971" s="525"/>
    </row>
    <row r="1972" spans="1:39" s="523" customFormat="1" ht="51.75" customHeight="1" x14ac:dyDescent="0.4">
      <c r="A1972" s="309"/>
      <c r="C1972" s="125"/>
      <c r="D1972" s="126"/>
      <c r="E1972" s="660">
        <v>2017</v>
      </c>
      <c r="F1972" s="251">
        <v>5000</v>
      </c>
      <c r="G1972" s="516">
        <v>5000</v>
      </c>
      <c r="H1972" s="516">
        <v>5000</v>
      </c>
      <c r="I1972" s="516">
        <v>5000</v>
      </c>
      <c r="J1972" s="516">
        <v>5000</v>
      </c>
      <c r="K1972" s="516">
        <v>5000</v>
      </c>
      <c r="L1972" s="516">
        <v>5000</v>
      </c>
      <c r="M1972" s="516">
        <v>5000</v>
      </c>
      <c r="N1972" s="516">
        <v>5000</v>
      </c>
      <c r="O1972" s="516">
        <v>5000</v>
      </c>
      <c r="P1972" s="516">
        <v>5000</v>
      </c>
      <c r="Q1972" s="516">
        <v>5000</v>
      </c>
      <c r="R1972" s="516">
        <v>5000</v>
      </c>
      <c r="S1972" s="252">
        <f t="shared" si="116"/>
        <v>60000</v>
      </c>
      <c r="T1972" s="257">
        <f t="shared" si="118"/>
        <v>0</v>
      </c>
      <c r="AM1972" s="525"/>
    </row>
    <row r="1973" spans="1:39" s="523" customFormat="1" ht="51.75" customHeight="1" x14ac:dyDescent="0.4">
      <c r="A1973" s="309"/>
      <c r="C1973" s="125"/>
      <c r="D1973" s="126"/>
      <c r="E1973" s="660">
        <v>2016</v>
      </c>
      <c r="F1973" s="251">
        <v>5000</v>
      </c>
      <c r="G1973" s="514">
        <v>5000</v>
      </c>
      <c r="H1973" s="514">
        <v>5000</v>
      </c>
      <c r="I1973" s="514">
        <v>5000</v>
      </c>
      <c r="J1973" s="514">
        <v>5000</v>
      </c>
      <c r="K1973" s="514">
        <v>5000</v>
      </c>
      <c r="L1973" s="514">
        <v>5000</v>
      </c>
      <c r="M1973" s="514">
        <v>5000</v>
      </c>
      <c r="N1973" s="514">
        <v>5000</v>
      </c>
      <c r="O1973" s="514">
        <v>5000</v>
      </c>
      <c r="P1973" s="514">
        <v>5000</v>
      </c>
      <c r="Q1973" s="514">
        <v>5000</v>
      </c>
      <c r="R1973" s="514">
        <v>5000</v>
      </c>
      <c r="S1973" s="252">
        <f t="shared" si="116"/>
        <v>60000</v>
      </c>
      <c r="T1973" s="257">
        <f t="shared" si="118"/>
        <v>0</v>
      </c>
      <c r="AM1973" s="525"/>
    </row>
    <row r="1974" spans="1:39" s="523" customFormat="1" ht="51.75" customHeight="1" x14ac:dyDescent="0.4">
      <c r="A1974" s="317"/>
      <c r="C1974" s="129"/>
      <c r="D1974" s="130"/>
      <c r="E1974" s="660">
        <v>2015</v>
      </c>
      <c r="F1974" s="251">
        <v>5000</v>
      </c>
      <c r="G1974" s="514">
        <v>5000</v>
      </c>
      <c r="H1974" s="514">
        <v>5000</v>
      </c>
      <c r="I1974" s="514">
        <v>5000</v>
      </c>
      <c r="J1974" s="514">
        <v>5000</v>
      </c>
      <c r="K1974" s="514">
        <v>5000</v>
      </c>
      <c r="L1974" s="514">
        <v>5000</v>
      </c>
      <c r="M1974" s="514">
        <v>5000</v>
      </c>
      <c r="N1974" s="514">
        <v>5000</v>
      </c>
      <c r="O1974" s="514">
        <v>5000</v>
      </c>
      <c r="P1974" s="514">
        <v>5000</v>
      </c>
      <c r="Q1974" s="514">
        <v>5000</v>
      </c>
      <c r="R1974" s="514">
        <v>5000</v>
      </c>
      <c r="S1974" s="252">
        <f t="shared" si="116"/>
        <v>60000</v>
      </c>
      <c r="T1974" s="257">
        <f t="shared" si="118"/>
        <v>0</v>
      </c>
      <c r="AM1974" s="525"/>
    </row>
    <row r="1975" spans="1:39" s="523" customFormat="1" ht="51.75" customHeight="1" thickBot="1" x14ac:dyDescent="0.45">
      <c r="A1975" s="253"/>
      <c r="C1975" s="658"/>
      <c r="D1975" s="659"/>
      <c r="E1975" s="526"/>
      <c r="F1975" s="265"/>
      <c r="G1975" s="489"/>
      <c r="H1975" s="489"/>
      <c r="I1975" s="489"/>
      <c r="J1975" s="489"/>
      <c r="K1975" s="489"/>
      <c r="L1975" s="489"/>
      <c r="M1975" s="489"/>
      <c r="N1975" s="489"/>
      <c r="O1975" s="489"/>
      <c r="P1975" s="489"/>
      <c r="Q1975" s="489"/>
      <c r="R1975" s="489"/>
      <c r="S1975" s="178">
        <f>SUM(S1963:S1974)</f>
        <v>730000</v>
      </c>
      <c r="T1975" s="87">
        <f ca="1">SUM(T1963:T1974)</f>
        <v>0</v>
      </c>
      <c r="AM1975" s="525"/>
    </row>
    <row r="1976" spans="1:39" s="523" customFormat="1" ht="51.75" customHeight="1" x14ac:dyDescent="0.4">
      <c r="A1976" s="253"/>
      <c r="C1976" s="658"/>
      <c r="D1976" s="659"/>
      <c r="E1976" s="526"/>
      <c r="F1976" s="264"/>
      <c r="G1976" s="484"/>
      <c r="H1976" s="484"/>
      <c r="I1976" s="484"/>
      <c r="J1976" s="484"/>
      <c r="K1976" s="484"/>
      <c r="L1976" s="484"/>
      <c r="M1976" s="484"/>
      <c r="N1976" s="484"/>
      <c r="O1976" s="484"/>
      <c r="P1976" s="484"/>
      <c r="Q1976" s="484"/>
      <c r="R1976" s="484"/>
      <c r="S1976" s="517"/>
      <c r="T1976" s="517"/>
      <c r="AM1976" s="525"/>
    </row>
    <row r="1977" spans="1:39" s="374" customFormat="1" ht="51.75" customHeight="1" x14ac:dyDescent="0.4">
      <c r="A1977" s="241" t="s">
        <v>6</v>
      </c>
      <c r="B1977" s="368" t="s">
        <v>7</v>
      </c>
      <c r="C1977" s="369" t="s">
        <v>8</v>
      </c>
      <c r="D1977" s="518" t="s">
        <v>231</v>
      </c>
      <c r="E1977" s="371" t="s">
        <v>10</v>
      </c>
      <c r="F1977" s="372" t="s">
        <v>11</v>
      </c>
      <c r="G1977" s="723" t="s">
        <v>12</v>
      </c>
      <c r="H1977" s="723" t="s">
        <v>13</v>
      </c>
      <c r="I1977" s="476" t="s">
        <v>14</v>
      </c>
      <c r="J1977" s="476" t="s">
        <v>15</v>
      </c>
      <c r="K1977" s="476" t="s">
        <v>16</v>
      </c>
      <c r="L1977" s="476" t="s">
        <v>17</v>
      </c>
      <c r="M1977" s="476" t="s">
        <v>18</v>
      </c>
      <c r="N1977" s="476" t="s">
        <v>19</v>
      </c>
      <c r="O1977" s="476" t="s">
        <v>20</v>
      </c>
      <c r="P1977" s="476" t="s">
        <v>21</v>
      </c>
      <c r="Q1977" s="476" t="s">
        <v>22</v>
      </c>
      <c r="R1977" s="476" t="s">
        <v>23</v>
      </c>
      <c r="S1977" s="20" t="s">
        <v>24</v>
      </c>
      <c r="T1977" s="20" t="s">
        <v>25</v>
      </c>
      <c r="AM1977" s="375"/>
    </row>
    <row r="1978" spans="1:39" ht="51.75" customHeight="1" x14ac:dyDescent="0.25">
      <c r="A1978" s="724" t="s">
        <v>500</v>
      </c>
      <c r="B1978" s="17"/>
      <c r="C1978" s="686" t="s">
        <v>124</v>
      </c>
      <c r="D1978" s="19"/>
      <c r="E1978" s="26">
        <v>2025</v>
      </c>
      <c r="F1978" s="725"/>
      <c r="G1978" s="558"/>
      <c r="H1978" s="558"/>
      <c r="I1978" s="726"/>
      <c r="J1978" s="22"/>
      <c r="K1978" s="22"/>
      <c r="L1978" s="22"/>
      <c r="M1978" s="22"/>
      <c r="N1978" s="22"/>
      <c r="O1978" s="22"/>
      <c r="P1978" s="22"/>
      <c r="Q1978" s="22"/>
      <c r="R1978" s="22"/>
      <c r="S1978" s="64">
        <f>SUM(G1978:R1978)</f>
        <v>0</v>
      </c>
      <c r="T1978" s="29">
        <f>SUM(F1978*IF(E1978=_current_year,_current_month,12)-(S1978))</f>
        <v>0</v>
      </c>
    </row>
    <row r="1979" spans="1:39" ht="51.75" customHeight="1" x14ac:dyDescent="0.25">
      <c r="A1979" s="727"/>
      <c r="B1979" s="17"/>
      <c r="C1979" s="686"/>
      <c r="D1979" s="19"/>
      <c r="E1979" s="728" t="s">
        <v>501</v>
      </c>
      <c r="F1979" s="729"/>
      <c r="G1979" s="729"/>
      <c r="H1979" s="729"/>
      <c r="I1979" s="729"/>
      <c r="J1979" s="729"/>
      <c r="K1979" s="729"/>
      <c r="L1979" s="729"/>
      <c r="M1979" s="729"/>
      <c r="N1979" s="729"/>
      <c r="O1979" s="729"/>
      <c r="P1979" s="729"/>
      <c r="Q1979" s="729"/>
      <c r="R1979" s="729"/>
      <c r="S1979" s="729"/>
      <c r="T1979" s="730"/>
    </row>
    <row r="1980" spans="1:39" ht="51.75" customHeight="1" x14ac:dyDescent="0.4">
      <c r="A1980" s="727"/>
      <c r="B1980" s="17"/>
      <c r="C1980" s="34"/>
      <c r="D1980" s="19"/>
      <c r="E1980" s="731"/>
      <c r="F1980" s="732"/>
      <c r="G1980" s="732"/>
      <c r="H1980" s="732"/>
      <c r="I1980" s="732"/>
      <c r="J1980" s="732"/>
      <c r="K1980" s="732"/>
      <c r="L1980" s="732"/>
      <c r="M1980" s="732"/>
      <c r="N1980" s="732"/>
      <c r="O1980" s="732"/>
      <c r="P1980" s="732"/>
      <c r="Q1980" s="732"/>
      <c r="R1980" s="732"/>
      <c r="S1980" s="732"/>
      <c r="T1980" s="733"/>
    </row>
    <row r="1981" spans="1:39" s="220" customFormat="1" ht="48" customHeight="1" x14ac:dyDescent="0.4">
      <c r="A1981" s="727"/>
      <c r="B1981" s="33" t="s">
        <v>28</v>
      </c>
      <c r="C1981" s="38" t="s">
        <v>52</v>
      </c>
      <c r="D1981" s="35"/>
      <c r="E1981" s="731"/>
      <c r="F1981" s="732"/>
      <c r="G1981" s="732"/>
      <c r="H1981" s="732"/>
      <c r="I1981" s="732"/>
      <c r="J1981" s="732"/>
      <c r="K1981" s="732"/>
      <c r="L1981" s="732"/>
      <c r="M1981" s="732"/>
      <c r="N1981" s="732"/>
      <c r="O1981" s="732"/>
      <c r="P1981" s="732"/>
      <c r="Q1981" s="732"/>
      <c r="R1981" s="732"/>
      <c r="S1981" s="732"/>
      <c r="T1981" s="733"/>
      <c r="AM1981" s="250"/>
    </row>
    <row r="1982" spans="1:39" s="220" customFormat="1" ht="51.75" customHeight="1" x14ac:dyDescent="0.4">
      <c r="A1982" s="313" t="s">
        <v>445</v>
      </c>
      <c r="B1982" s="33" t="s">
        <v>28</v>
      </c>
      <c r="C1982" s="125"/>
      <c r="D1982" s="59"/>
      <c r="E1982" s="731"/>
      <c r="F1982" s="732"/>
      <c r="G1982" s="732"/>
      <c r="H1982" s="732"/>
      <c r="I1982" s="732"/>
      <c r="J1982" s="732"/>
      <c r="K1982" s="732"/>
      <c r="L1982" s="732"/>
      <c r="M1982" s="732"/>
      <c r="N1982" s="732"/>
      <c r="O1982" s="732"/>
      <c r="P1982" s="732"/>
      <c r="Q1982" s="732"/>
      <c r="R1982" s="732"/>
      <c r="S1982" s="732"/>
      <c r="T1982" s="733"/>
      <c r="AM1982" s="250"/>
    </row>
    <row r="1983" spans="1:39" s="523" customFormat="1" ht="51.75" customHeight="1" x14ac:dyDescent="0.35">
      <c r="A1983" s="313"/>
      <c r="B1983" s="523" t="s">
        <v>326</v>
      </c>
      <c r="C1983" s="125"/>
      <c r="D1983" s="61"/>
      <c r="E1983" s="734"/>
      <c r="F1983" s="735"/>
      <c r="G1983" s="735"/>
      <c r="H1983" s="735"/>
      <c r="I1983" s="735"/>
      <c r="J1983" s="735"/>
      <c r="K1983" s="735"/>
      <c r="L1983" s="735"/>
      <c r="M1983" s="735"/>
      <c r="N1983" s="735"/>
      <c r="O1983" s="735"/>
      <c r="P1983" s="735"/>
      <c r="Q1983" s="735"/>
      <c r="R1983" s="735"/>
      <c r="S1983" s="735"/>
      <c r="T1983" s="736"/>
      <c r="AM1983" s="525"/>
    </row>
    <row r="1984" spans="1:39" s="523" customFormat="1" ht="51.75" customHeight="1" thickBot="1" x14ac:dyDescent="0.45">
      <c r="A1984" s="253"/>
      <c r="C1984" s="658"/>
      <c r="D1984" s="659"/>
      <c r="E1984" s="526"/>
      <c r="F1984" s="265"/>
      <c r="G1984" s="489"/>
      <c r="H1984" s="489"/>
      <c r="I1984" s="489"/>
      <c r="J1984" s="489"/>
      <c r="K1984" s="489"/>
      <c r="L1984" s="489"/>
      <c r="M1984" s="489"/>
      <c r="N1984" s="489"/>
      <c r="O1984" s="489"/>
      <c r="P1984" s="489"/>
      <c r="Q1984" s="489"/>
      <c r="R1984" s="489"/>
      <c r="S1984" s="178">
        <f>SUM(S1978:S1983)</f>
        <v>0</v>
      </c>
      <c r="T1984" s="87">
        <f>SUM(T1978:T1983)</f>
        <v>0</v>
      </c>
      <c r="AM1984" s="525"/>
    </row>
    <row r="1985" spans="1:39" s="523" customFormat="1" ht="51.75" customHeight="1" x14ac:dyDescent="0.4">
      <c r="A1985" s="253"/>
      <c r="C1985" s="658"/>
      <c r="D1985" s="659"/>
      <c r="E1985" s="526"/>
      <c r="F1985" s="264"/>
      <c r="G1985" s="484"/>
      <c r="H1985" s="484"/>
      <c r="I1985" s="484"/>
      <c r="J1985" s="484"/>
      <c r="K1985" s="484"/>
      <c r="L1985" s="484"/>
      <c r="M1985" s="484"/>
      <c r="N1985" s="484"/>
      <c r="O1985" s="484"/>
      <c r="P1985" s="484"/>
      <c r="Q1985" s="484"/>
      <c r="R1985" s="484"/>
      <c r="S1985" s="517"/>
      <c r="T1985" s="517"/>
      <c r="AM1985" s="525"/>
    </row>
    <row r="1986" spans="1:39" s="374" customFormat="1" ht="51.75" customHeight="1" x14ac:dyDescent="0.4">
      <c r="A1986" s="241" t="s">
        <v>6</v>
      </c>
      <c r="B1986" s="368" t="s">
        <v>7</v>
      </c>
      <c r="C1986" s="369" t="s">
        <v>8</v>
      </c>
      <c r="D1986" s="518" t="s">
        <v>231</v>
      </c>
      <c r="E1986" s="371" t="s">
        <v>10</v>
      </c>
      <c r="F1986" s="372" t="s">
        <v>11</v>
      </c>
      <c r="G1986" s="476" t="s">
        <v>12</v>
      </c>
      <c r="H1986" s="476" t="s">
        <v>13</v>
      </c>
      <c r="I1986" s="476" t="s">
        <v>14</v>
      </c>
      <c r="J1986" s="476" t="s">
        <v>15</v>
      </c>
      <c r="K1986" s="476" t="s">
        <v>16</v>
      </c>
      <c r="L1986" s="476" t="s">
        <v>17</v>
      </c>
      <c r="M1986" s="476" t="s">
        <v>18</v>
      </c>
      <c r="N1986" s="476" t="s">
        <v>19</v>
      </c>
      <c r="O1986" s="476" t="s">
        <v>20</v>
      </c>
      <c r="P1986" s="476" t="s">
        <v>21</v>
      </c>
      <c r="Q1986" s="476" t="s">
        <v>22</v>
      </c>
      <c r="R1986" s="476" t="s">
        <v>23</v>
      </c>
      <c r="S1986" s="20" t="s">
        <v>24</v>
      </c>
      <c r="T1986" s="20" t="s">
        <v>25</v>
      </c>
      <c r="AM1986" s="375"/>
    </row>
    <row r="1987" spans="1:39" ht="51.75" customHeight="1" x14ac:dyDescent="0.25">
      <c r="A1987" s="704" t="s">
        <v>502</v>
      </c>
      <c r="B1987" s="17"/>
      <c r="C1987" s="737" t="s">
        <v>503</v>
      </c>
      <c r="D1987" s="19"/>
      <c r="E1987" s="26">
        <v>2025</v>
      </c>
      <c r="F1987" s="251">
        <v>3000</v>
      </c>
      <c r="G1987" s="22"/>
      <c r="H1987" s="22"/>
      <c r="I1987" s="22"/>
      <c r="J1987" s="22"/>
      <c r="K1987" s="22"/>
      <c r="L1987" s="22"/>
      <c r="M1987" s="22">
        <v>30000</v>
      </c>
      <c r="N1987" s="22"/>
      <c r="O1987" s="22"/>
      <c r="P1987" s="22"/>
      <c r="Q1987" s="22"/>
      <c r="R1987" s="22"/>
      <c r="S1987" s="64">
        <f>SUM(G1987:R1987)</f>
        <v>30000</v>
      </c>
      <c r="T1987" s="29">
        <f>SUM(F1987*IF(E1987=_current_year,_current_month,12)-(S1987))</f>
        <v>6000</v>
      </c>
    </row>
    <row r="1988" spans="1:39" ht="51.75" customHeight="1" x14ac:dyDescent="0.6">
      <c r="A1988" s="705"/>
      <c r="B1988" s="17"/>
      <c r="C1988" s="738"/>
      <c r="D1988" s="19"/>
      <c r="E1988" s="30">
        <v>2024</v>
      </c>
      <c r="F1988" s="251">
        <v>3000</v>
      </c>
      <c r="G1988" s="22"/>
      <c r="H1988" s="22"/>
      <c r="I1988" s="22"/>
      <c r="K1988" s="22"/>
      <c r="L1988" s="22"/>
      <c r="M1988" s="22"/>
      <c r="N1988" s="22"/>
      <c r="O1988" s="22"/>
      <c r="P1988" s="336"/>
      <c r="Q1988" s="22"/>
      <c r="R1988" s="22"/>
      <c r="S1988" s="37">
        <f>SUM(H1988:R1988)</f>
        <v>0</v>
      </c>
      <c r="T1988" s="22">
        <f>SUM(F1988*IF(E1988=_current_year,_current_month,1)-(S1988))</f>
        <v>3000</v>
      </c>
    </row>
    <row r="1989" spans="1:39" s="220" customFormat="1" ht="48" customHeight="1" x14ac:dyDescent="0.4">
      <c r="A1989" s="705"/>
      <c r="B1989" s="33" t="s">
        <v>28</v>
      </c>
      <c r="C1989" s="34"/>
      <c r="D1989" s="35"/>
      <c r="E1989" s="30"/>
      <c r="F1989" s="251"/>
      <c r="G1989" s="22"/>
      <c r="H1989" s="36"/>
      <c r="I1989" s="36"/>
      <c r="J1989" s="36"/>
      <c r="K1989" s="36"/>
      <c r="L1989" s="36"/>
      <c r="M1989" s="36"/>
      <c r="N1989" s="36"/>
      <c r="O1989" s="36"/>
      <c r="P1989" s="36"/>
      <c r="Q1989" s="36"/>
      <c r="R1989" s="36"/>
      <c r="S1989" s="37"/>
      <c r="T1989" s="37"/>
      <c r="AM1989" s="250"/>
    </row>
    <row r="1990" spans="1:39" s="220" customFormat="1" ht="51.75" customHeight="1" x14ac:dyDescent="0.4">
      <c r="A1990" s="739" t="s">
        <v>445</v>
      </c>
      <c r="B1990" s="33" t="s">
        <v>28</v>
      </c>
      <c r="C1990" s="38" t="s">
        <v>52</v>
      </c>
      <c r="D1990" s="124"/>
      <c r="E1990" s="30"/>
      <c r="F1990" s="251"/>
      <c r="G1990" s="482"/>
      <c r="H1990" s="482"/>
      <c r="I1990" s="482"/>
      <c r="J1990" s="482"/>
      <c r="K1990" s="482"/>
      <c r="L1990" s="482"/>
      <c r="M1990" s="482"/>
      <c r="N1990" s="482"/>
      <c r="O1990" s="482"/>
      <c r="P1990" s="482"/>
      <c r="Q1990" s="482"/>
      <c r="R1990" s="482"/>
      <c r="S1990" s="252"/>
      <c r="T1990" s="252"/>
      <c r="AM1990" s="250"/>
    </row>
    <row r="1991" spans="1:39" s="523" customFormat="1" ht="51.75" customHeight="1" thickBot="1" x14ac:dyDescent="0.45">
      <c r="A1991" s="253"/>
      <c r="C1991" s="658"/>
      <c r="D1991" s="659"/>
      <c r="E1991" s="526"/>
      <c r="F1991" s="265"/>
      <c r="G1991" s="489"/>
      <c r="H1991" s="489"/>
      <c r="I1991" s="489"/>
      <c r="J1991" s="489"/>
      <c r="K1991" s="489"/>
      <c r="L1991" s="489"/>
      <c r="M1991" s="489"/>
      <c r="N1991" s="489"/>
      <c r="O1991" s="489"/>
      <c r="P1991" s="489"/>
      <c r="Q1991" s="489"/>
      <c r="R1991" s="489"/>
      <c r="S1991" s="178">
        <f>SUM(S1987:S1990)</f>
        <v>30000</v>
      </c>
      <c r="T1991" s="87">
        <f>SUM(T1987:T1990)</f>
        <v>9000</v>
      </c>
      <c r="AM1991" s="525"/>
    </row>
    <row r="1992" spans="1:39" s="523" customFormat="1" ht="51.75" customHeight="1" x14ac:dyDescent="0.4">
      <c r="A1992" s="253"/>
      <c r="C1992" s="658"/>
      <c r="D1992" s="659"/>
      <c r="E1992" s="526"/>
      <c r="F1992" s="264"/>
      <c r="G1992" s="484"/>
      <c r="H1992" s="484"/>
      <c r="I1992" s="484"/>
      <c r="J1992" s="484"/>
      <c r="K1992" s="484"/>
      <c r="L1992" s="484"/>
      <c r="M1992" s="484"/>
      <c r="N1992" s="484"/>
      <c r="O1992" s="484"/>
      <c r="P1992" s="484"/>
      <c r="Q1992" s="484"/>
      <c r="R1992" s="484"/>
      <c r="S1992" s="517"/>
      <c r="T1992" s="517"/>
      <c r="AM1992" s="525"/>
    </row>
    <row r="1993" spans="1:39" s="374" customFormat="1" ht="51.75" customHeight="1" x14ac:dyDescent="0.4">
      <c r="A1993" s="241" t="s">
        <v>6</v>
      </c>
      <c r="B1993" s="368" t="s">
        <v>7</v>
      </c>
      <c r="C1993" s="740" t="s">
        <v>8</v>
      </c>
      <c r="D1993" s="518" t="s">
        <v>231</v>
      </c>
      <c r="E1993" s="371" t="s">
        <v>10</v>
      </c>
      <c r="F1993" s="372" t="s">
        <v>11</v>
      </c>
      <c r="G1993" s="476" t="s">
        <v>12</v>
      </c>
      <c r="H1993" s="476" t="s">
        <v>13</v>
      </c>
      <c r="I1993" s="476" t="s">
        <v>14</v>
      </c>
      <c r="J1993" s="476" t="s">
        <v>15</v>
      </c>
      <c r="K1993" s="476" t="s">
        <v>16</v>
      </c>
      <c r="L1993" s="476" t="s">
        <v>17</v>
      </c>
      <c r="M1993" s="476" t="s">
        <v>18</v>
      </c>
      <c r="N1993" s="476" t="s">
        <v>19</v>
      </c>
      <c r="O1993" s="476" t="s">
        <v>20</v>
      </c>
      <c r="P1993" s="476" t="s">
        <v>21</v>
      </c>
      <c r="Q1993" s="476" t="s">
        <v>22</v>
      </c>
      <c r="R1993" s="476" t="s">
        <v>23</v>
      </c>
      <c r="S1993" s="20" t="s">
        <v>24</v>
      </c>
      <c r="T1993" s="20" t="s">
        <v>25</v>
      </c>
      <c r="AM1993" s="375"/>
    </row>
    <row r="1994" spans="1:39" ht="51.75" customHeight="1" x14ac:dyDescent="0.25">
      <c r="A1994" s="704" t="s">
        <v>504</v>
      </c>
      <c r="B1994" s="17"/>
      <c r="C1994" s="519" t="s">
        <v>124</v>
      </c>
      <c r="D1994" s="19"/>
      <c r="E1994" s="26">
        <v>2025</v>
      </c>
      <c r="F1994" s="251"/>
      <c r="G1994" s="22"/>
      <c r="H1994" s="22"/>
      <c r="I1994" s="22"/>
      <c r="J1994" s="22"/>
      <c r="K1994" s="22"/>
      <c r="L1994" s="22"/>
      <c r="M1994" s="22"/>
      <c r="N1994" s="22"/>
      <c r="O1994" s="22"/>
      <c r="P1994" s="22"/>
      <c r="Q1994" s="22"/>
      <c r="R1994" s="22"/>
      <c r="S1994" s="64">
        <f t="shared" ref="S1994" si="119">SUM(G1994:R1994)</f>
        <v>0</v>
      </c>
      <c r="T1994" s="29">
        <f>SUM(F1994*IF(E1994=_current_year,_current_month,12)-(S1994))</f>
        <v>0</v>
      </c>
    </row>
    <row r="1995" spans="1:39" ht="51.75" customHeight="1" x14ac:dyDescent="0.25">
      <c r="A1995" s="705"/>
      <c r="B1995" s="17"/>
      <c r="C1995" s="684"/>
      <c r="D1995" s="19"/>
      <c r="E1995" s="73"/>
      <c r="F1995" s="74"/>
      <c r="G1995" s="74"/>
      <c r="H1995" s="74"/>
      <c r="I1995" s="74"/>
      <c r="J1995" s="74"/>
      <c r="K1995" s="74"/>
      <c r="L1995" s="74"/>
      <c r="M1995" s="74"/>
      <c r="N1995" s="74"/>
      <c r="O1995" s="74"/>
      <c r="P1995" s="74"/>
      <c r="Q1995" s="74"/>
      <c r="R1995" s="74"/>
      <c r="S1995" s="74"/>
      <c r="T1995" s="75"/>
    </row>
    <row r="1996" spans="1:39" s="523" customFormat="1" ht="51.75" customHeight="1" thickBot="1" x14ac:dyDescent="0.45">
      <c r="A1996" s="253"/>
      <c r="C1996" s="658"/>
      <c r="D1996" s="659"/>
      <c r="E1996" s="526"/>
      <c r="F1996" s="265"/>
      <c r="G1996" s="489"/>
      <c r="H1996" s="489"/>
      <c r="I1996" s="489"/>
      <c r="J1996" s="489"/>
      <c r="K1996" s="489"/>
      <c r="L1996" s="489"/>
      <c r="M1996" s="489"/>
      <c r="N1996" s="489"/>
      <c r="O1996" s="489"/>
      <c r="P1996" s="489"/>
      <c r="Q1996" s="489"/>
      <c r="R1996" s="489"/>
      <c r="S1996" s="178">
        <f>SUM(S1994:S1995)</f>
        <v>0</v>
      </c>
      <c r="T1996" s="87">
        <f>SUM(T1994:T1995)</f>
        <v>0</v>
      </c>
      <c r="AM1996" s="525"/>
    </row>
    <row r="1997" spans="1:39" s="523" customFormat="1" ht="51.75" customHeight="1" x14ac:dyDescent="0.45">
      <c r="A1997" s="253"/>
      <c r="C1997" s="658"/>
      <c r="D1997" s="659"/>
      <c r="F1997" s="253"/>
      <c r="G1997" s="512"/>
      <c r="H1997" s="512"/>
      <c r="I1997" s="512"/>
      <c r="J1997" s="512"/>
      <c r="K1997" s="512"/>
      <c r="L1997" s="512"/>
      <c r="M1997" s="512"/>
      <c r="N1997" s="512"/>
      <c r="O1997" s="512"/>
      <c r="P1997" s="512"/>
      <c r="Q1997" s="512"/>
      <c r="R1997" s="512"/>
      <c r="S1997" s="269"/>
      <c r="T1997" s="269"/>
      <c r="AM1997" s="525"/>
    </row>
    <row r="1998" spans="1:39" s="374" customFormat="1" ht="51.75" customHeight="1" x14ac:dyDescent="0.4">
      <c r="A1998" s="241" t="s">
        <v>6</v>
      </c>
      <c r="B1998" s="368" t="s">
        <v>7</v>
      </c>
      <c r="C1998" s="369" t="s">
        <v>8</v>
      </c>
      <c r="D1998" s="518" t="s">
        <v>231</v>
      </c>
      <c r="E1998" s="371" t="s">
        <v>10</v>
      </c>
      <c r="F1998" s="372" t="s">
        <v>11</v>
      </c>
      <c r="G1998" s="476" t="s">
        <v>12</v>
      </c>
      <c r="H1998" s="476" t="s">
        <v>13</v>
      </c>
      <c r="I1998" s="476" t="s">
        <v>14</v>
      </c>
      <c r="J1998" s="476" t="s">
        <v>15</v>
      </c>
      <c r="K1998" s="476" t="s">
        <v>16</v>
      </c>
      <c r="L1998" s="476" t="s">
        <v>17</v>
      </c>
      <c r="M1998" s="476" t="s">
        <v>18</v>
      </c>
      <c r="N1998" s="476" t="s">
        <v>19</v>
      </c>
      <c r="O1998" s="476" t="s">
        <v>20</v>
      </c>
      <c r="P1998" s="476" t="s">
        <v>21</v>
      </c>
      <c r="Q1998" s="476" t="s">
        <v>22</v>
      </c>
      <c r="R1998" s="476" t="s">
        <v>23</v>
      </c>
      <c r="S1998" s="20" t="s">
        <v>24</v>
      </c>
      <c r="T1998" s="20" t="s">
        <v>25</v>
      </c>
      <c r="AM1998" s="375"/>
    </row>
    <row r="1999" spans="1:39" ht="51.75" customHeight="1" x14ac:dyDescent="0.25">
      <c r="A1999" s="720">
        <v>16</v>
      </c>
      <c r="B1999" s="17"/>
      <c r="C1999" s="519" t="s">
        <v>505</v>
      </c>
      <c r="D1999" s="19" t="str">
        <f>C1999</f>
        <v>ESTHER DIKE</v>
      </c>
      <c r="E1999" s="26">
        <v>2025</v>
      </c>
      <c r="F1999" s="251">
        <v>10000</v>
      </c>
      <c r="G1999" s="22">
        <v>30000</v>
      </c>
      <c r="H1999" s="22"/>
      <c r="I1999" s="22"/>
      <c r="J1999" s="22"/>
      <c r="K1999" s="22">
        <v>30000</v>
      </c>
      <c r="L1999" s="22"/>
      <c r="M1999" s="22">
        <v>30000</v>
      </c>
      <c r="N1999" s="22"/>
      <c r="O1999" s="425">
        <v>70000</v>
      </c>
      <c r="P1999" s="22"/>
      <c r="Q1999" s="22"/>
      <c r="R1999" s="22"/>
      <c r="S1999" s="64">
        <f t="shared" ref="S1999:S2009" si="120">SUM(G1999:R1999)</f>
        <v>160000</v>
      </c>
      <c r="T1999" s="29">
        <f>SUM(F1999*IF(E1999=_current_year,_current_month,12)-(S1999))</f>
        <v>-40000</v>
      </c>
    </row>
    <row r="2000" spans="1:39" ht="51.75" customHeight="1" x14ac:dyDescent="0.25">
      <c r="A2000" s="721"/>
      <c r="B2000" s="17"/>
      <c r="C2000" s="684"/>
      <c r="D2000" s="19"/>
      <c r="E2000" s="30">
        <v>2024</v>
      </c>
      <c r="F2000" s="251">
        <v>5000</v>
      </c>
      <c r="G2000" s="22"/>
      <c r="H2000" s="22"/>
      <c r="I2000" s="22">
        <v>30000</v>
      </c>
      <c r="J2000" s="22"/>
      <c r="K2000" s="22"/>
      <c r="L2000" s="22"/>
      <c r="M2000" s="22"/>
      <c r="N2000" s="22"/>
      <c r="O2000" s="22"/>
      <c r="P2000" s="22"/>
      <c r="Q2000" s="22"/>
      <c r="R2000" s="22"/>
      <c r="S2000" s="37">
        <f t="shared" si="120"/>
        <v>30000</v>
      </c>
      <c r="T2000" s="22">
        <f>SUM(F2000*IF(E2000=_current_year,_current_month,12)-(S2000))</f>
        <v>30000</v>
      </c>
    </row>
    <row r="2001" spans="1:39" ht="51.75" customHeight="1" x14ac:dyDescent="0.25">
      <c r="A2001" s="721"/>
      <c r="B2001" s="17"/>
      <c r="C2001" s="684"/>
      <c r="D2001" s="19"/>
      <c r="E2001" s="30">
        <v>2023</v>
      </c>
      <c r="F2001" s="251">
        <v>5000</v>
      </c>
      <c r="G2001" s="22"/>
      <c r="H2001" s="22"/>
      <c r="I2001" s="22">
        <v>40000</v>
      </c>
      <c r="J2001" s="22"/>
      <c r="K2001" s="22"/>
      <c r="L2001" s="22"/>
      <c r="M2001" s="22"/>
      <c r="N2001" s="22"/>
      <c r="O2001" s="22"/>
      <c r="P2001" s="22"/>
      <c r="Q2001" s="22"/>
      <c r="R2001" s="22"/>
      <c r="S2001" s="37">
        <f t="shared" si="120"/>
        <v>40000</v>
      </c>
      <c r="T2001" s="22">
        <f>SUM(F2001*IF(E2001=_current_year,_current_month,12)-(S2001))</f>
        <v>20000</v>
      </c>
    </row>
    <row r="2002" spans="1:39" s="220" customFormat="1" ht="48" customHeight="1" x14ac:dyDescent="0.4">
      <c r="A2002" s="721"/>
      <c r="B2002" s="33" t="s">
        <v>28</v>
      </c>
      <c r="C2002" s="520"/>
      <c r="D2002" s="35"/>
      <c r="E2002" s="30">
        <v>2022</v>
      </c>
      <c r="F2002" s="251">
        <v>5000</v>
      </c>
      <c r="G2002" s="36">
        <v>30000</v>
      </c>
      <c r="H2002" s="36"/>
      <c r="I2002" s="36"/>
      <c r="J2002" s="36"/>
      <c r="K2002" s="36"/>
      <c r="L2002" s="36">
        <v>30000</v>
      </c>
      <c r="M2002" s="36"/>
      <c r="N2002" s="36"/>
      <c r="O2002" s="36"/>
      <c r="P2002" s="36"/>
      <c r="Q2002" s="36"/>
      <c r="R2002" s="36"/>
      <c r="S2002" s="37">
        <f t="shared" si="120"/>
        <v>60000</v>
      </c>
      <c r="T2002" s="37">
        <f t="shared" ref="T2002:T2009" si="121">SUM(60000-S2002)</f>
        <v>0</v>
      </c>
      <c r="AM2002" s="250"/>
    </row>
    <row r="2003" spans="1:39" s="220" customFormat="1" ht="51.75" customHeight="1" x14ac:dyDescent="0.4">
      <c r="A2003" s="313" t="s">
        <v>445</v>
      </c>
      <c r="B2003" s="33" t="s">
        <v>28</v>
      </c>
      <c r="C2003" s="38" t="s">
        <v>52</v>
      </c>
      <c r="D2003" s="124"/>
      <c r="E2003" s="30">
        <v>2021</v>
      </c>
      <c r="F2003" s="251">
        <v>5000</v>
      </c>
      <c r="G2003" s="482"/>
      <c r="H2003" s="482"/>
      <c r="I2003" s="482"/>
      <c r="J2003" s="482"/>
      <c r="K2003" s="482"/>
      <c r="L2003" s="482"/>
      <c r="M2003" s="482">
        <v>40000</v>
      </c>
      <c r="N2003" s="482"/>
      <c r="O2003" s="482"/>
      <c r="P2003" s="482"/>
      <c r="Q2003" s="482"/>
      <c r="R2003" s="482">
        <v>10000</v>
      </c>
      <c r="S2003" s="252">
        <f t="shared" si="120"/>
        <v>50000</v>
      </c>
      <c r="T2003" s="252">
        <f t="shared" si="121"/>
        <v>10000</v>
      </c>
      <c r="AM2003" s="250"/>
    </row>
    <row r="2004" spans="1:39" s="523" customFormat="1" ht="51.75" customHeight="1" x14ac:dyDescent="0.35">
      <c r="A2004" s="313"/>
      <c r="B2004" s="523" t="s">
        <v>28</v>
      </c>
      <c r="C2004" s="125"/>
      <c r="D2004" s="126"/>
      <c r="E2004" s="660">
        <v>2020</v>
      </c>
      <c r="F2004" s="251">
        <v>5000</v>
      </c>
      <c r="G2004" s="535"/>
      <c r="H2004" s="535"/>
      <c r="I2004" s="535"/>
      <c r="J2004" s="535"/>
      <c r="K2004" s="516">
        <v>30000</v>
      </c>
      <c r="L2004" s="535"/>
      <c r="M2004" s="516">
        <v>20000</v>
      </c>
      <c r="N2004" s="516"/>
      <c r="O2004" s="516"/>
      <c r="P2004" s="516"/>
      <c r="Q2004" s="516"/>
      <c r="R2004" s="516">
        <v>25000</v>
      </c>
      <c r="S2004" s="252">
        <f t="shared" si="120"/>
        <v>75000</v>
      </c>
      <c r="T2004" s="257">
        <f t="shared" si="121"/>
        <v>-15000</v>
      </c>
      <c r="AM2004" s="525"/>
    </row>
    <row r="2005" spans="1:39" s="523" customFormat="1" ht="51.75" customHeight="1" x14ac:dyDescent="0.35">
      <c r="A2005" s="722"/>
      <c r="C2005" s="125"/>
      <c r="D2005" s="126"/>
      <c r="E2005" s="660">
        <v>2019</v>
      </c>
      <c r="F2005" s="251">
        <v>5000</v>
      </c>
      <c r="G2005" s="514">
        <v>5000</v>
      </c>
      <c r="H2005" s="514">
        <v>5000</v>
      </c>
      <c r="I2005" s="514">
        <v>5000</v>
      </c>
      <c r="J2005" s="514">
        <v>5000</v>
      </c>
      <c r="K2005" s="514">
        <v>5000</v>
      </c>
      <c r="L2005" s="514">
        <v>5000</v>
      </c>
      <c r="M2005" s="514">
        <v>5000</v>
      </c>
      <c r="N2005" s="516"/>
      <c r="O2005" s="516">
        <v>10000</v>
      </c>
      <c r="P2005" s="516"/>
      <c r="Q2005" s="516">
        <v>20000</v>
      </c>
      <c r="R2005" s="516"/>
      <c r="S2005" s="252">
        <f t="shared" si="120"/>
        <v>65000</v>
      </c>
      <c r="T2005" s="257">
        <f t="shared" si="121"/>
        <v>-5000</v>
      </c>
      <c r="AM2005" s="525"/>
    </row>
    <row r="2006" spans="1:39" s="523" customFormat="1" ht="51.75" customHeight="1" x14ac:dyDescent="0.4">
      <c r="A2006" s="309"/>
      <c r="C2006" s="125"/>
      <c r="D2006" s="126"/>
      <c r="E2006" s="660">
        <v>2018</v>
      </c>
      <c r="F2006" s="251">
        <v>5000</v>
      </c>
      <c r="G2006" s="514">
        <v>5000</v>
      </c>
      <c r="H2006" s="514">
        <v>5000</v>
      </c>
      <c r="I2006" s="514">
        <v>5000</v>
      </c>
      <c r="J2006" s="514">
        <v>5000</v>
      </c>
      <c r="K2006" s="514">
        <v>5000</v>
      </c>
      <c r="L2006" s="514">
        <v>5000</v>
      </c>
      <c r="M2006" s="514">
        <v>5000</v>
      </c>
      <c r="N2006" s="514">
        <v>5000</v>
      </c>
      <c r="O2006" s="514">
        <v>5000</v>
      </c>
      <c r="P2006" s="514">
        <v>5000</v>
      </c>
      <c r="Q2006" s="514">
        <v>5000</v>
      </c>
      <c r="R2006" s="514">
        <v>5000</v>
      </c>
      <c r="S2006" s="252">
        <f t="shared" si="120"/>
        <v>60000</v>
      </c>
      <c r="T2006" s="257">
        <f t="shared" si="121"/>
        <v>0</v>
      </c>
      <c r="AM2006" s="525"/>
    </row>
    <row r="2007" spans="1:39" s="523" customFormat="1" ht="51.75" customHeight="1" x14ac:dyDescent="0.4">
      <c r="A2007" s="309"/>
      <c r="C2007" s="125"/>
      <c r="D2007" s="126"/>
      <c r="E2007" s="660">
        <v>2017</v>
      </c>
      <c r="F2007" s="251">
        <v>5000</v>
      </c>
      <c r="G2007" s="514">
        <v>5000</v>
      </c>
      <c r="H2007" s="514">
        <v>5000</v>
      </c>
      <c r="I2007" s="514">
        <v>5000</v>
      </c>
      <c r="J2007" s="514">
        <v>5000</v>
      </c>
      <c r="K2007" s="514">
        <v>5000</v>
      </c>
      <c r="L2007" s="514">
        <v>5000</v>
      </c>
      <c r="M2007" s="514">
        <v>5000</v>
      </c>
      <c r="N2007" s="514">
        <v>5000</v>
      </c>
      <c r="O2007" s="514">
        <v>5000</v>
      </c>
      <c r="P2007" s="514">
        <v>5000</v>
      </c>
      <c r="Q2007" s="514">
        <v>5000</v>
      </c>
      <c r="R2007" s="514">
        <v>5000</v>
      </c>
      <c r="S2007" s="252">
        <f t="shared" si="120"/>
        <v>60000</v>
      </c>
      <c r="T2007" s="257">
        <f t="shared" si="121"/>
        <v>0</v>
      </c>
      <c r="AM2007" s="525"/>
    </row>
    <row r="2008" spans="1:39" s="523" customFormat="1" ht="51.75" customHeight="1" x14ac:dyDescent="0.4">
      <c r="A2008" s="309"/>
      <c r="C2008" s="125"/>
      <c r="D2008" s="126"/>
      <c r="E2008" s="660">
        <v>2016</v>
      </c>
      <c r="F2008" s="251">
        <v>5000</v>
      </c>
      <c r="G2008" s="514">
        <v>5000</v>
      </c>
      <c r="H2008" s="514">
        <v>5000</v>
      </c>
      <c r="I2008" s="514">
        <v>5000</v>
      </c>
      <c r="J2008" s="514">
        <v>5000</v>
      </c>
      <c r="K2008" s="514">
        <v>5000</v>
      </c>
      <c r="L2008" s="514">
        <v>5000</v>
      </c>
      <c r="M2008" s="514">
        <v>5000</v>
      </c>
      <c r="N2008" s="514">
        <v>5000</v>
      </c>
      <c r="O2008" s="514">
        <v>5000</v>
      </c>
      <c r="P2008" s="514">
        <v>5000</v>
      </c>
      <c r="Q2008" s="514">
        <v>5000</v>
      </c>
      <c r="R2008" s="514">
        <v>5000</v>
      </c>
      <c r="S2008" s="252">
        <f t="shared" si="120"/>
        <v>60000</v>
      </c>
      <c r="T2008" s="257">
        <f t="shared" si="121"/>
        <v>0</v>
      </c>
      <c r="AM2008" s="525"/>
    </row>
    <row r="2009" spans="1:39" s="523" customFormat="1" ht="51.75" customHeight="1" x14ac:dyDescent="0.4">
      <c r="A2009" s="317"/>
      <c r="C2009" s="129"/>
      <c r="D2009" s="130"/>
      <c r="E2009" s="660">
        <v>2015</v>
      </c>
      <c r="F2009" s="251">
        <v>5000</v>
      </c>
      <c r="G2009" s="514">
        <v>5000</v>
      </c>
      <c r="H2009" s="514">
        <v>5000</v>
      </c>
      <c r="I2009" s="514">
        <v>5000</v>
      </c>
      <c r="J2009" s="514">
        <v>5000</v>
      </c>
      <c r="K2009" s="514">
        <v>5000</v>
      </c>
      <c r="L2009" s="514">
        <v>5000</v>
      </c>
      <c r="M2009" s="514">
        <v>5000</v>
      </c>
      <c r="N2009" s="514">
        <v>5000</v>
      </c>
      <c r="O2009" s="514">
        <v>5000</v>
      </c>
      <c r="P2009" s="514">
        <v>5000</v>
      </c>
      <c r="Q2009" s="514">
        <v>5000</v>
      </c>
      <c r="R2009" s="514">
        <v>5000</v>
      </c>
      <c r="S2009" s="252">
        <f t="shared" si="120"/>
        <v>60000</v>
      </c>
      <c r="T2009" s="257">
        <f t="shared" si="121"/>
        <v>0</v>
      </c>
      <c r="AM2009" s="525"/>
    </row>
    <row r="2010" spans="1:39" s="523" customFormat="1" ht="51.75" customHeight="1" thickBot="1" x14ac:dyDescent="0.45">
      <c r="A2010" s="253"/>
      <c r="C2010" s="658"/>
      <c r="D2010" s="659"/>
      <c r="E2010" s="526"/>
      <c r="F2010" s="265"/>
      <c r="G2010" s="489"/>
      <c r="H2010" s="489"/>
      <c r="I2010" s="489"/>
      <c r="J2010" s="489"/>
      <c r="K2010" s="489"/>
      <c r="L2010" s="489"/>
      <c r="M2010" s="489"/>
      <c r="N2010" s="489"/>
      <c r="O2010" s="489"/>
      <c r="P2010" s="489"/>
      <c r="Q2010" s="489"/>
      <c r="R2010" s="489"/>
      <c r="S2010" s="178">
        <f>SUM(S1999:S2009)</f>
        <v>720000</v>
      </c>
      <c r="T2010" s="87">
        <f>SUM(T1999:T2009)</f>
        <v>0</v>
      </c>
      <c r="AM2010" s="525"/>
    </row>
    <row r="2011" spans="1:39" s="523" customFormat="1" ht="51.75" customHeight="1" x14ac:dyDescent="0.45">
      <c r="A2011" s="253"/>
      <c r="C2011" s="658"/>
      <c r="D2011" s="659"/>
      <c r="F2011" s="253"/>
      <c r="G2011" s="512"/>
      <c r="H2011" s="512"/>
      <c r="I2011" s="512"/>
      <c r="J2011" s="512"/>
      <c r="K2011" s="512"/>
      <c r="L2011" s="512"/>
      <c r="M2011" s="512"/>
      <c r="N2011" s="512"/>
      <c r="O2011" s="512"/>
      <c r="P2011" s="512"/>
      <c r="Q2011" s="512"/>
      <c r="R2011" s="512"/>
      <c r="S2011" s="269"/>
      <c r="T2011" s="269"/>
      <c r="AM2011" s="525"/>
    </row>
    <row r="2012" spans="1:39" s="374" customFormat="1" ht="51.75" customHeight="1" x14ac:dyDescent="0.4">
      <c r="A2012" s="241" t="s">
        <v>6</v>
      </c>
      <c r="B2012" s="368" t="s">
        <v>7</v>
      </c>
      <c r="C2012" s="369" t="s">
        <v>8</v>
      </c>
      <c r="D2012" s="518" t="s">
        <v>231</v>
      </c>
      <c r="E2012" s="371" t="s">
        <v>10</v>
      </c>
      <c r="F2012" s="372" t="s">
        <v>11</v>
      </c>
      <c r="G2012" s="476" t="s">
        <v>12</v>
      </c>
      <c r="H2012" s="476" t="s">
        <v>13</v>
      </c>
      <c r="I2012" s="476" t="s">
        <v>14</v>
      </c>
      <c r="J2012" s="476" t="s">
        <v>15</v>
      </c>
      <c r="K2012" s="476" t="s">
        <v>16</v>
      </c>
      <c r="L2012" s="476" t="s">
        <v>17</v>
      </c>
      <c r="M2012" s="476" t="s">
        <v>18</v>
      </c>
      <c r="N2012" s="476" t="s">
        <v>19</v>
      </c>
      <c r="O2012" s="476" t="s">
        <v>20</v>
      </c>
      <c r="P2012" s="476" t="s">
        <v>21</v>
      </c>
      <c r="Q2012" s="476" t="s">
        <v>22</v>
      </c>
      <c r="R2012" s="476" t="s">
        <v>23</v>
      </c>
      <c r="S2012" s="20" t="s">
        <v>24</v>
      </c>
      <c r="T2012" s="20" t="s">
        <v>25</v>
      </c>
      <c r="AM2012" s="375"/>
    </row>
    <row r="2013" spans="1:39" ht="51.75" customHeight="1" x14ac:dyDescent="0.25">
      <c r="A2013" s="704" t="s">
        <v>506</v>
      </c>
      <c r="B2013" s="17"/>
      <c r="C2013" s="741" t="s">
        <v>507</v>
      </c>
      <c r="D2013" s="19"/>
      <c r="E2013" s="26">
        <v>2025</v>
      </c>
      <c r="F2013" s="251">
        <v>5000</v>
      </c>
      <c r="G2013" s="22"/>
      <c r="H2013" s="22">
        <v>10000</v>
      </c>
      <c r="I2013" s="22"/>
      <c r="J2013" s="22"/>
      <c r="K2013" s="22"/>
      <c r="L2013" s="22"/>
      <c r="M2013" s="22">
        <v>25000</v>
      </c>
      <c r="N2013" s="22">
        <v>23500</v>
      </c>
      <c r="O2013" s="22"/>
      <c r="P2013" s="22"/>
      <c r="Q2013" s="22"/>
      <c r="R2013" s="22"/>
      <c r="S2013" s="64">
        <f t="shared" ref="S2013:S2018" si="122">SUM(G2013:R2013)</f>
        <v>58500</v>
      </c>
      <c r="T2013" s="29">
        <f>SUM(F2013*IF(E2013=_current_year,_current_month,12)-(S2013))</f>
        <v>1500</v>
      </c>
    </row>
    <row r="2014" spans="1:39" ht="51.75" customHeight="1" x14ac:dyDescent="0.25">
      <c r="A2014" s="705"/>
      <c r="B2014" s="17"/>
      <c r="C2014" s="742"/>
      <c r="D2014" s="19"/>
      <c r="E2014" s="30">
        <v>2024</v>
      </c>
      <c r="F2014" s="251">
        <v>3000</v>
      </c>
      <c r="G2014" s="22"/>
      <c r="H2014" s="22">
        <v>22500</v>
      </c>
      <c r="I2014" s="22"/>
      <c r="J2014" s="22"/>
      <c r="K2014" s="22"/>
      <c r="L2014" s="22"/>
      <c r="M2014" s="22"/>
      <c r="N2014" s="22"/>
      <c r="O2014" s="22"/>
      <c r="P2014" s="22"/>
      <c r="Q2014" s="22"/>
      <c r="R2014" s="22"/>
      <c r="S2014" s="37">
        <f t="shared" si="122"/>
        <v>22500</v>
      </c>
      <c r="T2014" s="22">
        <f>SUM(F2014*IF(E2014=_current_year,_current_month,12)-(S2014))</f>
        <v>13500</v>
      </c>
    </row>
    <row r="2015" spans="1:39" ht="51.75" customHeight="1" x14ac:dyDescent="0.25">
      <c r="A2015" s="705"/>
      <c r="B2015" s="17"/>
      <c r="C2015" s="743"/>
      <c r="D2015" s="19"/>
      <c r="E2015" s="30">
        <v>2023</v>
      </c>
      <c r="F2015" s="251">
        <v>3000</v>
      </c>
      <c r="G2015" s="22"/>
      <c r="H2015" s="22"/>
      <c r="I2015" s="22">
        <v>500</v>
      </c>
      <c r="J2015" s="22"/>
      <c r="K2015" s="22"/>
      <c r="L2015" s="22"/>
      <c r="M2015" s="22"/>
      <c r="N2015" s="22">
        <v>1500</v>
      </c>
      <c r="O2015" s="22"/>
      <c r="P2015" s="22"/>
      <c r="Q2015" s="22"/>
      <c r="R2015" s="22"/>
      <c r="S2015" s="37">
        <f t="shared" si="122"/>
        <v>2000</v>
      </c>
      <c r="T2015" s="22">
        <f>SUM(F2015*IF(E2015=_current_year,_current_month,12)-(S2015))</f>
        <v>34000</v>
      </c>
    </row>
    <row r="2016" spans="1:39" s="220" customFormat="1" ht="48" customHeight="1" x14ac:dyDescent="0.4">
      <c r="A2016" s="705"/>
      <c r="B2016" s="33" t="s">
        <v>28</v>
      </c>
      <c r="C2016" s="34"/>
      <c r="D2016" s="35"/>
      <c r="E2016" s="30">
        <v>2022</v>
      </c>
      <c r="F2016" s="251">
        <v>3000</v>
      </c>
      <c r="G2016" s="36">
        <v>20000</v>
      </c>
      <c r="H2016" s="36"/>
      <c r="I2016" s="36"/>
      <c r="J2016" s="36">
        <v>40000</v>
      </c>
      <c r="K2016" s="36"/>
      <c r="L2016" s="36"/>
      <c r="M2016" s="36"/>
      <c r="N2016" s="36"/>
      <c r="O2016" s="36">
        <v>20000</v>
      </c>
      <c r="P2016" s="36"/>
      <c r="Q2016" s="36"/>
      <c r="R2016" s="36"/>
      <c r="S2016" s="37">
        <f t="shared" si="122"/>
        <v>80000</v>
      </c>
      <c r="T2016" s="37">
        <f>SUM(36000-S2016)</f>
        <v>-44000</v>
      </c>
      <c r="AM2016" s="250"/>
    </row>
    <row r="2017" spans="1:39" s="220" customFormat="1" ht="51.75" customHeight="1" x14ac:dyDescent="0.4">
      <c r="A2017" s="313" t="s">
        <v>445</v>
      </c>
      <c r="B2017" s="33" t="s">
        <v>28</v>
      </c>
      <c r="C2017" s="38" t="s">
        <v>52</v>
      </c>
      <c r="D2017" s="124"/>
      <c r="E2017" s="30">
        <v>2021</v>
      </c>
      <c r="F2017" s="251">
        <v>3000</v>
      </c>
      <c r="G2017" s="482">
        <v>30000</v>
      </c>
      <c r="H2017" s="482"/>
      <c r="I2017" s="482"/>
      <c r="J2017" s="482"/>
      <c r="K2017" s="482"/>
      <c r="L2017" s="482"/>
      <c r="M2017" s="482"/>
      <c r="N2017" s="482"/>
      <c r="O2017" s="482"/>
      <c r="P2017" s="482">
        <v>10000</v>
      </c>
      <c r="Q2017" s="482"/>
      <c r="R2017" s="482"/>
      <c r="S2017" s="252">
        <f t="shared" si="122"/>
        <v>40000</v>
      </c>
      <c r="T2017" s="252">
        <f>SUM(36000-S2017)</f>
        <v>-4000</v>
      </c>
      <c r="AM2017" s="250"/>
    </row>
    <row r="2018" spans="1:39" s="523" customFormat="1" ht="51.75" customHeight="1" x14ac:dyDescent="0.35">
      <c r="A2018" s="313"/>
      <c r="B2018" s="523" t="s">
        <v>326</v>
      </c>
      <c r="C2018" s="125"/>
      <c r="D2018" s="126"/>
      <c r="E2018" s="660">
        <v>2020</v>
      </c>
      <c r="F2018" s="251">
        <v>3000</v>
      </c>
      <c r="G2018" s="516"/>
      <c r="H2018" s="516"/>
      <c r="I2018" s="516"/>
      <c r="J2018" s="516"/>
      <c r="K2018" s="516">
        <v>10000</v>
      </c>
      <c r="L2018" s="516">
        <v>10000</v>
      </c>
      <c r="M2018" s="516"/>
      <c r="N2018" s="516">
        <v>20000</v>
      </c>
      <c r="O2018" s="516"/>
      <c r="P2018" s="516"/>
      <c r="Q2018" s="516"/>
      <c r="R2018" s="516"/>
      <c r="S2018" s="252">
        <f t="shared" si="122"/>
        <v>40000</v>
      </c>
      <c r="T2018" s="257">
        <f>SUM(36000-S2018)</f>
        <v>-4000</v>
      </c>
      <c r="AM2018" s="525"/>
    </row>
    <row r="2019" spans="1:39" s="523" customFormat="1" ht="51.75" customHeight="1" x14ac:dyDescent="0.35">
      <c r="A2019" s="709"/>
      <c r="C2019" s="125"/>
      <c r="D2019" s="126"/>
      <c r="E2019" s="660">
        <v>2019</v>
      </c>
      <c r="F2019" s="251">
        <v>3000</v>
      </c>
      <c r="G2019" s="516"/>
      <c r="H2019" s="516"/>
      <c r="I2019" s="516"/>
      <c r="J2019" s="516"/>
      <c r="K2019" s="516"/>
      <c r="L2019" s="516"/>
      <c r="M2019" s="516"/>
      <c r="N2019" s="516"/>
      <c r="O2019" s="516"/>
      <c r="P2019" s="516"/>
      <c r="Q2019" s="516"/>
      <c r="R2019" s="516"/>
      <c r="S2019" s="252">
        <f>SUM(R2019)</f>
        <v>0</v>
      </c>
      <c r="T2019" s="257">
        <f>SUM(3000-S2019)</f>
        <v>3000</v>
      </c>
      <c r="AM2019" s="525"/>
    </row>
    <row r="2020" spans="1:39" s="523" customFormat="1" ht="51.75" customHeight="1" thickBot="1" x14ac:dyDescent="0.45">
      <c r="A2020" s="253"/>
      <c r="C2020" s="658"/>
      <c r="D2020" s="659"/>
      <c r="E2020" s="526"/>
      <c r="F2020" s="265"/>
      <c r="G2020" s="489"/>
      <c r="H2020" s="489"/>
      <c r="I2020" s="489"/>
      <c r="J2020" s="489"/>
      <c r="K2020" s="489"/>
      <c r="L2020" s="489"/>
      <c r="M2020" s="489"/>
      <c r="N2020" s="489"/>
      <c r="O2020" s="489"/>
      <c r="P2020" s="489"/>
      <c r="Q2020" s="489"/>
      <c r="R2020" s="489"/>
      <c r="S2020" s="178">
        <f>SUM(S2013:S2019)</f>
        <v>243000</v>
      </c>
      <c r="T2020" s="87">
        <f>SUM(T2013:T2019)</f>
        <v>0</v>
      </c>
      <c r="AM2020" s="525"/>
    </row>
    <row r="2021" spans="1:39" s="523" customFormat="1" ht="51.75" customHeight="1" x14ac:dyDescent="0.4">
      <c r="A2021" s="253"/>
      <c r="C2021" s="658"/>
      <c r="D2021" s="659"/>
      <c r="E2021" s="695"/>
      <c r="F2021" s="234"/>
      <c r="G2021" s="389"/>
      <c r="H2021" s="389"/>
      <c r="I2021" s="389"/>
      <c r="J2021" s="389"/>
      <c r="K2021" s="389"/>
      <c r="L2021" s="389"/>
      <c r="M2021" s="389"/>
      <c r="N2021" s="389"/>
      <c r="O2021" s="389"/>
      <c r="P2021" s="389"/>
      <c r="Q2021" s="389"/>
      <c r="R2021" s="389"/>
      <c r="S2021" s="344"/>
      <c r="T2021" s="344"/>
      <c r="AM2021" s="525"/>
    </row>
    <row r="2022" spans="1:39" s="374" customFormat="1" ht="51.75" customHeight="1" x14ac:dyDescent="0.4">
      <c r="A2022" s="241" t="s">
        <v>6</v>
      </c>
      <c r="B2022" s="368" t="s">
        <v>7</v>
      </c>
      <c r="C2022" s="369" t="s">
        <v>8</v>
      </c>
      <c r="D2022" s="518" t="s">
        <v>231</v>
      </c>
      <c r="E2022" s="371" t="s">
        <v>10</v>
      </c>
      <c r="F2022" s="372" t="s">
        <v>11</v>
      </c>
      <c r="G2022" s="476" t="s">
        <v>12</v>
      </c>
      <c r="H2022" s="476" t="s">
        <v>13</v>
      </c>
      <c r="I2022" s="476" t="s">
        <v>14</v>
      </c>
      <c r="J2022" s="476" t="s">
        <v>15</v>
      </c>
      <c r="K2022" s="476" t="s">
        <v>16</v>
      </c>
      <c r="L2022" s="476" t="s">
        <v>17</v>
      </c>
      <c r="M2022" s="476" t="s">
        <v>18</v>
      </c>
      <c r="N2022" s="476" t="s">
        <v>19</v>
      </c>
      <c r="O2022" s="476" t="s">
        <v>20</v>
      </c>
      <c r="P2022" s="476" t="s">
        <v>21</v>
      </c>
      <c r="Q2022" s="476" t="s">
        <v>22</v>
      </c>
      <c r="R2022" s="476" t="s">
        <v>23</v>
      </c>
      <c r="S2022" s="20" t="s">
        <v>24</v>
      </c>
      <c r="T2022" s="20" t="s">
        <v>25</v>
      </c>
      <c r="AM2022" s="375"/>
    </row>
    <row r="2023" spans="1:39" ht="51.75" customHeight="1" x14ac:dyDescent="0.25">
      <c r="A2023" s="704" t="s">
        <v>508</v>
      </c>
      <c r="B2023" s="17"/>
      <c r="C2023" s="741" t="s">
        <v>509</v>
      </c>
      <c r="D2023" s="19" t="str">
        <f>C2023</f>
        <v>NNANI  JOHNSON CHUDI</v>
      </c>
      <c r="E2023" s="26">
        <v>2025</v>
      </c>
      <c r="F2023" s="251">
        <v>5000</v>
      </c>
      <c r="G2023" s="22"/>
      <c r="H2023" s="22"/>
      <c r="I2023" s="22"/>
      <c r="J2023" s="22"/>
      <c r="K2023" s="22"/>
      <c r="L2023" s="22"/>
      <c r="M2023" s="22"/>
      <c r="N2023" s="22"/>
      <c r="O2023" s="425">
        <v>10000</v>
      </c>
      <c r="P2023" s="22"/>
      <c r="Q2023" s="22"/>
      <c r="R2023" s="22"/>
      <c r="S2023" s="64">
        <f>SUM(G2023:R2023)</f>
        <v>10000</v>
      </c>
      <c r="T2023" s="29">
        <f>SUM(F2023*IF(E2023=_current_year,_current_month,12)-(S2023))</f>
        <v>50000</v>
      </c>
    </row>
    <row r="2024" spans="1:39" ht="51.75" customHeight="1" x14ac:dyDescent="0.25">
      <c r="A2024" s="705"/>
      <c r="B2024" s="17"/>
      <c r="C2024" s="742"/>
      <c r="D2024" s="19"/>
      <c r="E2024" s="26">
        <v>2024</v>
      </c>
      <c r="F2024" s="251">
        <v>3000</v>
      </c>
      <c r="G2024" s="22">
        <v>36000</v>
      </c>
      <c r="H2024" s="22"/>
      <c r="I2024" s="22"/>
      <c r="J2024" s="22"/>
      <c r="K2024" s="22"/>
      <c r="L2024" s="22"/>
      <c r="M2024" s="22"/>
      <c r="N2024" s="22"/>
      <c r="O2024" s="22">
        <v>52000</v>
      </c>
      <c r="P2024" s="22"/>
      <c r="Q2024" s="22"/>
      <c r="R2024" s="22"/>
      <c r="S2024" s="64">
        <f>SUM(G2024:R2024)</f>
        <v>88000</v>
      </c>
      <c r="T2024" s="29">
        <f>SUM(F2024*IF(E2024=_current_year,_current_month,12)-(S2024))</f>
        <v>-52000</v>
      </c>
    </row>
    <row r="2025" spans="1:39" ht="51.75" customHeight="1" x14ac:dyDescent="0.25">
      <c r="A2025" s="705"/>
      <c r="B2025" s="17"/>
      <c r="C2025" s="743"/>
      <c r="D2025" s="19"/>
      <c r="E2025" s="30">
        <v>2023</v>
      </c>
      <c r="F2025" s="251">
        <v>3000</v>
      </c>
      <c r="G2025" s="22"/>
      <c r="H2025" s="22"/>
      <c r="I2025" s="22">
        <v>18000</v>
      </c>
      <c r="J2025" s="22"/>
      <c r="K2025" s="22"/>
      <c r="L2025" s="22"/>
      <c r="M2025" s="22"/>
      <c r="N2025" s="22"/>
      <c r="O2025" s="22"/>
      <c r="P2025" s="22"/>
      <c r="Q2025" s="22"/>
      <c r="R2025" s="22"/>
      <c r="S2025" s="37">
        <f>SUM(G2025:R2025)</f>
        <v>18000</v>
      </c>
      <c r="T2025" s="22">
        <f>SUM(F2025*IF(E2025=_current_year,_current_month,12)-(S2025))</f>
        <v>18000</v>
      </c>
    </row>
    <row r="2026" spans="1:39" s="220" customFormat="1" ht="48" customHeight="1" x14ac:dyDescent="0.4">
      <c r="A2026" s="705"/>
      <c r="B2026" s="33" t="s">
        <v>28</v>
      </c>
      <c r="C2026" s="34"/>
      <c r="D2026" s="35"/>
      <c r="E2026" s="30">
        <v>2022</v>
      </c>
      <c r="F2026" s="251">
        <v>3000</v>
      </c>
      <c r="G2026" s="36"/>
      <c r="H2026" s="36"/>
      <c r="I2026" s="36">
        <v>27000</v>
      </c>
      <c r="J2026" s="36"/>
      <c r="K2026" s="36"/>
      <c r="L2026" s="36"/>
      <c r="M2026" s="36"/>
      <c r="N2026" s="36"/>
      <c r="O2026" s="36"/>
      <c r="P2026" s="36">
        <v>18000</v>
      </c>
      <c r="Q2026" s="36"/>
      <c r="R2026" s="36"/>
      <c r="S2026" s="37">
        <f>SUM(G2026:R2026)</f>
        <v>45000</v>
      </c>
      <c r="T2026" s="37">
        <f>SUM(36000-S2026)</f>
        <v>-9000</v>
      </c>
      <c r="AM2026" s="250"/>
    </row>
    <row r="2027" spans="1:39" s="220" customFormat="1" ht="51.75" customHeight="1" x14ac:dyDescent="0.4">
      <c r="A2027" s="739" t="s">
        <v>445</v>
      </c>
      <c r="B2027" s="33" t="s">
        <v>28</v>
      </c>
      <c r="C2027" s="38" t="s">
        <v>52</v>
      </c>
      <c r="D2027" s="124"/>
      <c r="E2027" s="30">
        <v>2021</v>
      </c>
      <c r="F2027" s="251">
        <v>3000</v>
      </c>
      <c r="G2027" s="482"/>
      <c r="H2027" s="482"/>
      <c r="I2027" s="482"/>
      <c r="J2027" s="482"/>
      <c r="K2027" s="482"/>
      <c r="L2027" s="482"/>
      <c r="M2027" s="482"/>
      <c r="N2027" s="744">
        <v>9000</v>
      </c>
      <c r="O2027" s="482"/>
      <c r="P2027" s="482"/>
      <c r="Q2027" s="482"/>
      <c r="R2027" s="482"/>
      <c r="S2027" s="252">
        <f>SUM(N2027:R2027)</f>
        <v>9000</v>
      </c>
      <c r="T2027" s="252">
        <f>SUM(12000-S2027)</f>
        <v>3000</v>
      </c>
      <c r="AM2027" s="250"/>
    </row>
    <row r="2028" spans="1:39" s="523" customFormat="1" ht="51.75" customHeight="1" thickBot="1" x14ac:dyDescent="0.45">
      <c r="A2028" s="253"/>
      <c r="C2028" s="658"/>
      <c r="D2028" s="659"/>
      <c r="E2028" s="526"/>
      <c r="F2028" s="265"/>
      <c r="G2028" s="489"/>
      <c r="H2028" s="489"/>
      <c r="I2028" s="489"/>
      <c r="J2028" s="489"/>
      <c r="K2028" s="489"/>
      <c r="L2028" s="489"/>
      <c r="M2028" s="489"/>
      <c r="N2028" s="489"/>
      <c r="O2028" s="489"/>
      <c r="P2028" s="489"/>
      <c r="Q2028" s="489"/>
      <c r="R2028" s="489"/>
      <c r="S2028" s="178">
        <f>SUM(S2023:S2027)</f>
        <v>170000</v>
      </c>
      <c r="T2028" s="87">
        <f>SUM(T2023:T2027)</f>
        <v>10000</v>
      </c>
      <c r="AM2028" s="525"/>
    </row>
    <row r="2029" spans="1:39" s="523" customFormat="1" ht="51.75" customHeight="1" x14ac:dyDescent="0.45">
      <c r="A2029" s="253"/>
      <c r="C2029" s="658"/>
      <c r="D2029" s="659"/>
      <c r="F2029" s="253"/>
      <c r="G2029" s="512"/>
      <c r="H2029" s="512"/>
      <c r="I2029" s="512"/>
      <c r="J2029" s="512"/>
      <c r="K2029" s="512"/>
      <c r="L2029" s="512"/>
      <c r="M2029" s="512"/>
      <c r="N2029" s="512"/>
      <c r="O2029" s="512"/>
      <c r="P2029" s="512"/>
      <c r="Q2029" s="512"/>
      <c r="R2029" s="512"/>
      <c r="S2029" s="269"/>
      <c r="T2029" s="269"/>
      <c r="AM2029" s="525"/>
    </row>
    <row r="2030" spans="1:39" s="374" customFormat="1" ht="51.75" customHeight="1" x14ac:dyDescent="0.4">
      <c r="A2030" s="241" t="s">
        <v>6</v>
      </c>
      <c r="B2030" s="368" t="s">
        <v>7</v>
      </c>
      <c r="C2030" s="369" t="s">
        <v>8</v>
      </c>
      <c r="D2030" s="518" t="s">
        <v>231</v>
      </c>
      <c r="E2030" s="371" t="s">
        <v>10</v>
      </c>
      <c r="F2030" s="372" t="s">
        <v>11</v>
      </c>
      <c r="G2030" s="476" t="s">
        <v>12</v>
      </c>
      <c r="H2030" s="476" t="s">
        <v>13</v>
      </c>
      <c r="I2030" s="476" t="s">
        <v>14</v>
      </c>
      <c r="J2030" s="476" t="s">
        <v>15</v>
      </c>
      <c r="K2030" s="476" t="s">
        <v>16</v>
      </c>
      <c r="L2030" s="476" t="s">
        <v>17</v>
      </c>
      <c r="M2030" s="476" t="s">
        <v>18</v>
      </c>
      <c r="N2030" s="476" t="s">
        <v>19</v>
      </c>
      <c r="O2030" s="476" t="s">
        <v>20</v>
      </c>
      <c r="P2030" s="476" t="s">
        <v>21</v>
      </c>
      <c r="Q2030" s="476" t="s">
        <v>22</v>
      </c>
      <c r="R2030" s="476" t="s">
        <v>23</v>
      </c>
      <c r="S2030" s="20" t="s">
        <v>24</v>
      </c>
      <c r="T2030" s="20" t="s">
        <v>25</v>
      </c>
      <c r="AM2030" s="375"/>
    </row>
    <row r="2031" spans="1:39" ht="51.75" customHeight="1" x14ac:dyDescent="0.25">
      <c r="A2031" s="704" t="s">
        <v>510</v>
      </c>
      <c r="B2031" s="17"/>
      <c r="C2031" s="519" t="s">
        <v>511</v>
      </c>
      <c r="D2031" s="19" t="str">
        <f>C2031</f>
        <v>BECKY ELOHO PATRICK</v>
      </c>
      <c r="E2031" s="26">
        <v>2025</v>
      </c>
      <c r="F2031" s="251">
        <v>5000</v>
      </c>
      <c r="G2031" s="22"/>
      <c r="H2031" s="22"/>
      <c r="I2031" s="22"/>
      <c r="J2031" s="22"/>
      <c r="K2031" s="22"/>
      <c r="L2031" s="22"/>
      <c r="M2031" s="22"/>
      <c r="N2031" s="22"/>
      <c r="O2031" s="22">
        <v>60000</v>
      </c>
      <c r="P2031" s="22"/>
      <c r="Q2031" s="22"/>
      <c r="R2031" s="22"/>
      <c r="S2031" s="64">
        <f t="shared" ref="S2031:S2033" si="123">SUM(G2031:R2031)</f>
        <v>60000</v>
      </c>
      <c r="T2031" s="29">
        <f>SUM(F2031*IF(E2031=_current_year,_current_month,12)-(S2031))</f>
        <v>0</v>
      </c>
    </row>
    <row r="2032" spans="1:39" ht="51.75" customHeight="1" x14ac:dyDescent="0.25">
      <c r="A2032" s="705"/>
      <c r="B2032" s="17"/>
      <c r="C2032" s="684"/>
      <c r="D2032" s="19"/>
      <c r="E2032" s="30">
        <v>2024</v>
      </c>
      <c r="F2032" s="251">
        <v>3000</v>
      </c>
      <c r="G2032" s="22"/>
      <c r="H2032" s="22"/>
      <c r="I2032" s="22"/>
      <c r="J2032" s="22"/>
      <c r="K2032" s="22"/>
      <c r="L2032" s="22"/>
      <c r="M2032" s="22"/>
      <c r="N2032" s="22"/>
      <c r="O2032" s="22"/>
      <c r="P2032" s="22"/>
      <c r="Q2032" s="22"/>
      <c r="R2032" s="22"/>
      <c r="S2032" s="37">
        <f t="shared" si="123"/>
        <v>0</v>
      </c>
      <c r="T2032" s="22">
        <f>SUM(F2032*IF(E2032=_current_year,_current_month,12)-(S2032))</f>
        <v>36000</v>
      </c>
    </row>
    <row r="2033" spans="1:39" ht="51.75" customHeight="1" x14ac:dyDescent="0.25">
      <c r="A2033" s="705"/>
      <c r="B2033" s="17"/>
      <c r="C2033" s="684"/>
      <c r="D2033" s="19"/>
      <c r="E2033" s="30">
        <v>2023</v>
      </c>
      <c r="F2033" s="251">
        <v>3000</v>
      </c>
      <c r="G2033" s="22"/>
      <c r="H2033" s="22"/>
      <c r="I2033" s="22"/>
      <c r="J2033" s="22"/>
      <c r="K2033" s="22"/>
      <c r="L2033" s="22"/>
      <c r="M2033" s="22"/>
      <c r="N2033" s="22"/>
      <c r="O2033" s="22"/>
      <c r="P2033" s="22"/>
      <c r="Q2033" s="22"/>
      <c r="R2033" s="336">
        <v>60000</v>
      </c>
      <c r="S2033" s="37">
        <f t="shared" si="123"/>
        <v>60000</v>
      </c>
      <c r="T2033" s="22">
        <f>SUM(F2033*0-(S2033))</f>
        <v>-60000</v>
      </c>
    </row>
    <row r="2034" spans="1:39" s="220" customFormat="1" ht="48" customHeight="1" x14ac:dyDescent="0.4">
      <c r="A2034" s="705"/>
      <c r="B2034" s="33" t="s">
        <v>28</v>
      </c>
      <c r="C2034" s="520"/>
      <c r="D2034" s="35"/>
      <c r="E2034" s="73"/>
      <c r="F2034" s="74"/>
      <c r="G2034" s="74"/>
      <c r="H2034" s="74"/>
      <c r="I2034" s="74"/>
      <c r="J2034" s="74"/>
      <c r="K2034" s="74"/>
      <c r="L2034" s="74"/>
      <c r="M2034" s="74"/>
      <c r="N2034" s="74"/>
      <c r="O2034" s="74"/>
      <c r="P2034" s="74"/>
      <c r="Q2034" s="74"/>
      <c r="R2034" s="74"/>
      <c r="S2034" s="74"/>
      <c r="T2034" s="75"/>
      <c r="AM2034" s="250"/>
    </row>
    <row r="2035" spans="1:39" s="220" customFormat="1" ht="51.75" customHeight="1" x14ac:dyDescent="0.4">
      <c r="A2035" s="313" t="s">
        <v>445</v>
      </c>
      <c r="B2035" s="33" t="s">
        <v>28</v>
      </c>
      <c r="C2035" s="80" t="s">
        <v>52</v>
      </c>
      <c r="D2035" s="80"/>
      <c r="E2035" s="77"/>
      <c r="F2035" s="78"/>
      <c r="G2035" s="78"/>
      <c r="H2035" s="78"/>
      <c r="I2035" s="78"/>
      <c r="J2035" s="78"/>
      <c r="K2035" s="78"/>
      <c r="L2035" s="78"/>
      <c r="M2035" s="78"/>
      <c r="N2035" s="78"/>
      <c r="O2035" s="78"/>
      <c r="P2035" s="78"/>
      <c r="Q2035" s="78"/>
      <c r="R2035" s="78"/>
      <c r="S2035" s="78"/>
      <c r="T2035" s="79"/>
      <c r="AM2035" s="250"/>
    </row>
    <row r="2036" spans="1:39" s="523" customFormat="1" ht="51.75" customHeight="1" x14ac:dyDescent="0.35">
      <c r="A2036" s="313"/>
      <c r="B2036" s="523" t="s">
        <v>478</v>
      </c>
      <c r="C2036" s="82"/>
      <c r="D2036" s="82"/>
      <c r="E2036" s="77"/>
      <c r="F2036" s="78"/>
      <c r="G2036" s="78"/>
      <c r="H2036" s="78"/>
      <c r="I2036" s="78"/>
      <c r="J2036" s="78"/>
      <c r="K2036" s="78"/>
      <c r="L2036" s="78"/>
      <c r="M2036" s="78"/>
      <c r="N2036" s="78"/>
      <c r="O2036" s="78"/>
      <c r="P2036" s="78"/>
      <c r="Q2036" s="78"/>
      <c r="R2036" s="78"/>
      <c r="S2036" s="78"/>
      <c r="T2036" s="79"/>
      <c r="AM2036" s="525"/>
    </row>
    <row r="2037" spans="1:39" s="523" customFormat="1" ht="51.75" customHeight="1" x14ac:dyDescent="0.35">
      <c r="A2037" s="709"/>
      <c r="C2037" s="82"/>
      <c r="D2037" s="82"/>
      <c r="E2037" s="167"/>
      <c r="F2037" s="168"/>
      <c r="G2037" s="168"/>
      <c r="H2037" s="168"/>
      <c r="I2037" s="168"/>
      <c r="J2037" s="168"/>
      <c r="K2037" s="168"/>
      <c r="L2037" s="168"/>
      <c r="M2037" s="168"/>
      <c r="N2037" s="168"/>
      <c r="O2037" s="168"/>
      <c r="P2037" s="168"/>
      <c r="Q2037" s="168"/>
      <c r="R2037" s="168"/>
      <c r="S2037" s="168"/>
      <c r="T2037" s="169"/>
      <c r="AM2037" s="525"/>
    </row>
    <row r="2038" spans="1:39" s="523" customFormat="1" ht="51.75" customHeight="1" x14ac:dyDescent="0.4">
      <c r="A2038" s="253"/>
      <c r="C2038" s="82"/>
      <c r="D2038" s="82"/>
      <c r="E2038" s="526"/>
      <c r="F2038" s="264"/>
      <c r="G2038" s="484"/>
      <c r="H2038" s="484"/>
      <c r="I2038" s="484"/>
      <c r="J2038" s="484"/>
      <c r="K2038" s="484"/>
      <c r="L2038" s="484"/>
      <c r="M2038" s="484"/>
      <c r="N2038" s="484"/>
      <c r="O2038" s="484"/>
      <c r="P2038" s="484"/>
      <c r="Q2038" s="484"/>
      <c r="R2038" s="484"/>
      <c r="S2038" s="275"/>
      <c r="T2038" s="286"/>
      <c r="AM2038" s="525"/>
    </row>
    <row r="2039" spans="1:39" s="523" customFormat="1" ht="51.75" customHeight="1" thickBot="1" x14ac:dyDescent="0.45">
      <c r="A2039" s="253"/>
      <c r="C2039" s="658"/>
      <c r="D2039" s="659"/>
      <c r="E2039" s="526"/>
      <c r="F2039" s="265"/>
      <c r="G2039" s="489"/>
      <c r="H2039" s="489"/>
      <c r="I2039" s="489"/>
      <c r="J2039" s="489"/>
      <c r="K2039" s="489"/>
      <c r="L2039" s="489"/>
      <c r="M2039" s="489"/>
      <c r="N2039" s="489"/>
      <c r="O2039" s="489"/>
      <c r="P2039" s="489"/>
      <c r="Q2039" s="489"/>
      <c r="R2039" s="489"/>
      <c r="S2039" s="178">
        <f>SUM(S2031:S2038)</f>
        <v>120000</v>
      </c>
      <c r="T2039" s="87">
        <f>SUM(T2031:T2033)</f>
        <v>-24000</v>
      </c>
      <c r="AM2039" s="525"/>
    </row>
    <row r="2040" spans="1:39" s="523" customFormat="1" ht="51.75" customHeight="1" x14ac:dyDescent="0.45">
      <c r="A2040" s="253"/>
      <c r="C2040" s="658"/>
      <c r="D2040" s="659"/>
      <c r="F2040" s="253"/>
      <c r="G2040" s="512"/>
      <c r="H2040" s="512"/>
      <c r="I2040" s="512"/>
      <c r="J2040" s="512"/>
      <c r="K2040" s="512"/>
      <c r="L2040" s="512"/>
      <c r="M2040" s="512"/>
      <c r="N2040" s="512"/>
      <c r="O2040" s="512"/>
      <c r="P2040" s="512"/>
      <c r="Q2040" s="512"/>
      <c r="R2040" s="512"/>
      <c r="S2040" s="269"/>
      <c r="T2040" s="269"/>
      <c r="AM2040" s="525"/>
    </row>
    <row r="2041" spans="1:39" s="374" customFormat="1" ht="51.75" customHeight="1" x14ac:dyDescent="0.4">
      <c r="A2041" s="241" t="s">
        <v>6</v>
      </c>
      <c r="B2041" s="368" t="s">
        <v>7</v>
      </c>
      <c r="C2041" s="369" t="s">
        <v>8</v>
      </c>
      <c r="D2041" s="518" t="s">
        <v>231</v>
      </c>
      <c r="E2041" s="371" t="s">
        <v>10</v>
      </c>
      <c r="F2041" s="372" t="s">
        <v>11</v>
      </c>
      <c r="G2041" s="476" t="s">
        <v>12</v>
      </c>
      <c r="H2041" s="476" t="s">
        <v>13</v>
      </c>
      <c r="I2041" s="476" t="s">
        <v>14</v>
      </c>
      <c r="J2041" s="476" t="s">
        <v>15</v>
      </c>
      <c r="K2041" s="476" t="s">
        <v>16</v>
      </c>
      <c r="L2041" s="476" t="s">
        <v>17</v>
      </c>
      <c r="M2041" s="476" t="s">
        <v>18</v>
      </c>
      <c r="N2041" s="476" t="s">
        <v>19</v>
      </c>
      <c r="O2041" s="476" t="s">
        <v>20</v>
      </c>
      <c r="P2041" s="476" t="s">
        <v>21</v>
      </c>
      <c r="Q2041" s="476" t="s">
        <v>22</v>
      </c>
      <c r="R2041" s="476" t="s">
        <v>23</v>
      </c>
      <c r="S2041" s="20" t="s">
        <v>24</v>
      </c>
      <c r="T2041" s="20" t="s">
        <v>25</v>
      </c>
      <c r="AM2041" s="375"/>
    </row>
    <row r="2042" spans="1:39" ht="51.75" customHeight="1" x14ac:dyDescent="0.25">
      <c r="A2042" s="704" t="s">
        <v>512</v>
      </c>
      <c r="B2042" s="17"/>
      <c r="C2042" s="654" t="s">
        <v>513</v>
      </c>
      <c r="D2042" s="19"/>
      <c r="E2042" s="26">
        <v>2025</v>
      </c>
      <c r="F2042" s="251">
        <v>5000</v>
      </c>
      <c r="G2042" s="22"/>
      <c r="H2042" s="22"/>
      <c r="I2042" s="22"/>
      <c r="J2042" s="22"/>
      <c r="K2042" s="22">
        <v>52000</v>
      </c>
      <c r="L2042" s="22"/>
      <c r="M2042" s="22"/>
      <c r="N2042" s="22"/>
      <c r="O2042" s="22"/>
      <c r="P2042" s="22"/>
      <c r="Q2042" s="22"/>
      <c r="R2042" s="22"/>
      <c r="S2042" s="64">
        <f t="shared" ref="S2042:S2049" si="124">SUM(G2042:R2042)</f>
        <v>52000</v>
      </c>
      <c r="T2042" s="29">
        <f>SUM(F2042*IF(E2042=_current_year,_current_month,12)-(S2042))</f>
        <v>8000</v>
      </c>
    </row>
    <row r="2043" spans="1:39" ht="51.75" customHeight="1" x14ac:dyDescent="0.25">
      <c r="A2043" s="705"/>
      <c r="B2043" s="17"/>
      <c r="C2043" s="656"/>
      <c r="D2043" s="19"/>
      <c r="E2043" s="30">
        <v>2024</v>
      </c>
      <c r="F2043" s="251">
        <v>3000</v>
      </c>
      <c r="G2043" s="22">
        <v>36000</v>
      </c>
      <c r="H2043" s="22"/>
      <c r="I2043" s="22"/>
      <c r="J2043" s="22"/>
      <c r="K2043" s="22"/>
      <c r="L2043" s="22"/>
      <c r="M2043" s="22"/>
      <c r="N2043" s="22"/>
      <c r="O2043" s="22"/>
      <c r="P2043" s="22"/>
      <c r="Q2043" s="22"/>
      <c r="R2043" s="22"/>
      <c r="S2043" s="37">
        <f t="shared" si="124"/>
        <v>36000</v>
      </c>
      <c r="T2043" s="22">
        <f>SUM(F2043*IF(E2043=_current_year,_current_month,12)-(S2043))</f>
        <v>0</v>
      </c>
    </row>
    <row r="2044" spans="1:39" ht="51.75" customHeight="1" x14ac:dyDescent="0.6">
      <c r="A2044" s="705"/>
      <c r="B2044" s="17"/>
      <c r="C2044" s="656"/>
      <c r="D2044" s="19"/>
      <c r="E2044" s="30">
        <v>2023</v>
      </c>
      <c r="F2044" s="251">
        <v>3000</v>
      </c>
      <c r="G2044" s="22"/>
      <c r="H2044" s="22"/>
      <c r="I2044" s="22"/>
      <c r="J2044" s="22"/>
      <c r="K2044" s="22"/>
      <c r="L2044" s="22"/>
      <c r="M2044" s="22"/>
      <c r="N2044" s="22"/>
      <c r="O2044" s="22"/>
      <c r="P2044" s="22"/>
      <c r="Q2044" s="22"/>
      <c r="S2044" s="37">
        <f t="shared" si="124"/>
        <v>0</v>
      </c>
      <c r="T2044" s="22">
        <f>SUM(F2044*12)-(S2044)</f>
        <v>36000</v>
      </c>
    </row>
    <row r="2045" spans="1:39" s="220" customFormat="1" ht="48" customHeight="1" x14ac:dyDescent="0.4">
      <c r="A2045" s="705"/>
      <c r="B2045" s="33" t="s">
        <v>28</v>
      </c>
      <c r="C2045" s="745"/>
      <c r="D2045" s="35"/>
      <c r="E2045" s="30">
        <v>2022</v>
      </c>
      <c r="F2045" s="251">
        <v>3000</v>
      </c>
      <c r="G2045" s="36"/>
      <c r="H2045" s="36"/>
      <c r="I2045" s="36"/>
      <c r="J2045" s="36"/>
      <c r="K2045" s="36"/>
      <c r="L2045" s="36"/>
      <c r="M2045" s="36"/>
      <c r="N2045" s="36"/>
      <c r="O2045" s="36"/>
      <c r="P2045" s="36">
        <v>36000</v>
      </c>
      <c r="Q2045" s="36"/>
      <c r="R2045" s="36"/>
      <c r="S2045" s="37">
        <f t="shared" si="124"/>
        <v>36000</v>
      </c>
      <c r="T2045" s="37">
        <f>SUM(36000-S2045)</f>
        <v>0</v>
      </c>
      <c r="AM2045" s="250"/>
    </row>
    <row r="2046" spans="1:39" s="220" customFormat="1" ht="51.75" customHeight="1" x14ac:dyDescent="0.4">
      <c r="A2046" s="313" t="s">
        <v>445</v>
      </c>
      <c r="B2046" s="33" t="s">
        <v>28</v>
      </c>
      <c r="C2046" s="38" t="s">
        <v>52</v>
      </c>
      <c r="D2046" s="124"/>
      <c r="E2046" s="30">
        <v>2021</v>
      </c>
      <c r="F2046" s="251">
        <v>3000</v>
      </c>
      <c r="G2046" s="482"/>
      <c r="H2046" s="482"/>
      <c r="I2046" s="482"/>
      <c r="J2046" s="482"/>
      <c r="K2046" s="482"/>
      <c r="L2046" s="482"/>
      <c r="M2046" s="482"/>
      <c r="N2046" s="482"/>
      <c r="O2046" s="482">
        <v>36000</v>
      </c>
      <c r="P2046" s="482"/>
      <c r="Q2046" s="482"/>
      <c r="R2046" s="482"/>
      <c r="S2046" s="252">
        <f t="shared" si="124"/>
        <v>36000</v>
      </c>
      <c r="T2046" s="252">
        <f>SUM(36000-S2046)</f>
        <v>0</v>
      </c>
      <c r="AM2046" s="250"/>
    </row>
    <row r="2047" spans="1:39" s="523" customFormat="1" ht="51.75" customHeight="1" x14ac:dyDescent="0.35">
      <c r="A2047" s="313"/>
      <c r="B2047" s="523" t="s">
        <v>472</v>
      </c>
      <c r="C2047" s="125"/>
      <c r="D2047" s="126"/>
      <c r="E2047" s="660">
        <v>2020</v>
      </c>
      <c r="F2047" s="251">
        <v>3000</v>
      </c>
      <c r="G2047" s="553"/>
      <c r="H2047" s="553"/>
      <c r="I2047" s="553"/>
      <c r="J2047" s="553"/>
      <c r="K2047" s="553"/>
      <c r="L2047" s="553"/>
      <c r="M2047" s="553"/>
      <c r="N2047" s="553">
        <v>36000</v>
      </c>
      <c r="O2047" s="516"/>
      <c r="P2047" s="516"/>
      <c r="Q2047" s="516"/>
      <c r="R2047" s="516"/>
      <c r="S2047" s="252">
        <f t="shared" si="124"/>
        <v>36000</v>
      </c>
      <c r="T2047" s="257">
        <f>SUM(12000-S2047)</f>
        <v>-24000</v>
      </c>
      <c r="AM2047" s="525"/>
    </row>
    <row r="2048" spans="1:39" s="523" customFormat="1" ht="51.75" customHeight="1" x14ac:dyDescent="0.35">
      <c r="A2048" s="709"/>
      <c r="C2048" s="125"/>
      <c r="D2048" s="126"/>
      <c r="E2048" s="660">
        <v>2019</v>
      </c>
      <c r="F2048" s="251">
        <v>3000</v>
      </c>
      <c r="G2048" s="516"/>
      <c r="H2048" s="516"/>
      <c r="I2048" s="516"/>
      <c r="J2048" s="516"/>
      <c r="K2048" s="516"/>
      <c r="L2048" s="516"/>
      <c r="M2048" s="516"/>
      <c r="N2048" s="516"/>
      <c r="O2048" s="516"/>
      <c r="P2048" s="516"/>
      <c r="Q2048" s="516"/>
      <c r="R2048" s="516"/>
      <c r="S2048" s="252">
        <f t="shared" si="124"/>
        <v>0</v>
      </c>
      <c r="T2048" s="257">
        <v>0</v>
      </c>
      <c r="AM2048" s="525"/>
    </row>
    <row r="2049" spans="1:39" s="523" customFormat="1" ht="51.75" customHeight="1" x14ac:dyDescent="0.35">
      <c r="A2049" s="709"/>
      <c r="C2049" s="125"/>
      <c r="D2049" s="126"/>
      <c r="E2049" s="660">
        <v>2018</v>
      </c>
      <c r="F2049" s="251">
        <v>3000</v>
      </c>
      <c r="G2049" s="516"/>
      <c r="H2049" s="516"/>
      <c r="I2049" s="516"/>
      <c r="J2049" s="516"/>
      <c r="K2049" s="516"/>
      <c r="L2049" s="516"/>
      <c r="M2049" s="516"/>
      <c r="N2049" s="516"/>
      <c r="O2049" s="516"/>
      <c r="P2049" s="516"/>
      <c r="Q2049" s="516"/>
      <c r="R2049" s="516"/>
      <c r="S2049" s="252">
        <f t="shared" si="124"/>
        <v>0</v>
      </c>
      <c r="T2049" s="257">
        <v>0</v>
      </c>
      <c r="AM2049" s="525"/>
    </row>
    <row r="2050" spans="1:39" s="523" customFormat="1" ht="51.75" customHeight="1" thickBot="1" x14ac:dyDescent="0.45">
      <c r="A2050" s="253"/>
      <c r="C2050" s="658"/>
      <c r="D2050" s="659"/>
      <c r="E2050" s="526"/>
      <c r="F2050" s="265"/>
      <c r="G2050" s="489"/>
      <c r="H2050" s="489"/>
      <c r="I2050" s="489"/>
      <c r="J2050" s="489"/>
      <c r="K2050" s="489"/>
      <c r="L2050" s="489"/>
      <c r="M2050" s="489"/>
      <c r="N2050" s="489"/>
      <c r="O2050" s="489"/>
      <c r="P2050" s="489"/>
      <c r="Q2050" s="489"/>
      <c r="R2050" s="489"/>
      <c r="S2050" s="178">
        <f>SUM(S2042:S2049)</f>
        <v>196000</v>
      </c>
      <c r="T2050" s="87">
        <f>SUM(T2042:T2049)</f>
        <v>20000</v>
      </c>
      <c r="AM2050" s="525"/>
    </row>
    <row r="2051" spans="1:39" s="523" customFormat="1" ht="51.75" customHeight="1" x14ac:dyDescent="0.4">
      <c r="A2051" s="253"/>
      <c r="C2051" s="658"/>
      <c r="D2051" s="659"/>
      <c r="E2051" s="526"/>
      <c r="F2051" s="264"/>
      <c r="G2051" s="484"/>
      <c r="H2051" s="484"/>
      <c r="I2051" s="484"/>
      <c r="J2051" s="484"/>
      <c r="K2051" s="484"/>
      <c r="L2051" s="484"/>
      <c r="M2051" s="484"/>
      <c r="N2051" s="484"/>
      <c r="O2051" s="484"/>
      <c r="P2051" s="484"/>
      <c r="Q2051" s="484"/>
      <c r="R2051" s="484"/>
      <c r="S2051" s="517"/>
      <c r="T2051" s="517"/>
      <c r="AM2051" s="525"/>
    </row>
    <row r="2052" spans="1:39" s="374" customFormat="1" ht="51.75" customHeight="1" x14ac:dyDescent="0.4">
      <c r="A2052" s="241" t="s">
        <v>6</v>
      </c>
      <c r="B2052" s="368" t="s">
        <v>7</v>
      </c>
      <c r="C2052" s="369" t="s">
        <v>8</v>
      </c>
      <c r="D2052" s="518" t="s">
        <v>231</v>
      </c>
      <c r="E2052" s="371" t="s">
        <v>10</v>
      </c>
      <c r="F2052" s="372" t="s">
        <v>11</v>
      </c>
      <c r="G2052" s="476" t="s">
        <v>12</v>
      </c>
      <c r="H2052" s="476" t="s">
        <v>13</v>
      </c>
      <c r="I2052" s="476" t="s">
        <v>14</v>
      </c>
      <c r="J2052" s="476" t="s">
        <v>15</v>
      </c>
      <c r="K2052" s="476" t="s">
        <v>16</v>
      </c>
      <c r="L2052" s="476" t="s">
        <v>17</v>
      </c>
      <c r="M2052" s="476" t="s">
        <v>18</v>
      </c>
      <c r="N2052" s="476" t="s">
        <v>19</v>
      </c>
      <c r="O2052" s="476" t="s">
        <v>20</v>
      </c>
      <c r="P2052" s="476" t="s">
        <v>21</v>
      </c>
      <c r="Q2052" s="476" t="s">
        <v>22</v>
      </c>
      <c r="R2052" s="476" t="s">
        <v>23</v>
      </c>
      <c r="S2052" s="20" t="s">
        <v>24</v>
      </c>
      <c r="T2052" s="20" t="s">
        <v>25</v>
      </c>
      <c r="AM2052" s="375"/>
    </row>
    <row r="2053" spans="1:39" ht="51.75" customHeight="1" x14ac:dyDescent="0.25">
      <c r="A2053" s="704" t="s">
        <v>514</v>
      </c>
      <c r="B2053" s="17"/>
      <c r="C2053" s="519" t="s">
        <v>515</v>
      </c>
      <c r="D2053" s="19"/>
      <c r="E2053" s="26">
        <v>2025</v>
      </c>
      <c r="F2053" s="251">
        <v>5000</v>
      </c>
      <c r="G2053" s="22"/>
      <c r="H2053" s="22"/>
      <c r="I2053" s="22"/>
      <c r="J2053" s="22"/>
      <c r="K2053" s="22"/>
      <c r="L2053" s="22"/>
      <c r="M2053" s="22"/>
      <c r="N2053" s="22"/>
      <c r="O2053" s="22"/>
      <c r="P2053" s="22"/>
      <c r="Q2053" s="22"/>
      <c r="R2053" s="22"/>
      <c r="S2053" s="64">
        <f>SUM(G2053:R2053)</f>
        <v>0</v>
      </c>
      <c r="T2053" s="29">
        <f>SUM(F2053*IF(E2053=_current_year,_current_month,12)-(S2053))</f>
        <v>60000</v>
      </c>
    </row>
    <row r="2054" spans="1:39" ht="51.75" customHeight="1" x14ac:dyDescent="0.25">
      <c r="A2054" s="705"/>
      <c r="B2054" s="17"/>
      <c r="C2054" s="520"/>
      <c r="D2054" s="19"/>
      <c r="E2054" s="30">
        <v>2024</v>
      </c>
      <c r="F2054" s="251">
        <v>3000</v>
      </c>
      <c r="G2054" s="22"/>
      <c r="H2054" s="22"/>
      <c r="I2054" s="22"/>
      <c r="J2054" s="22">
        <v>36000</v>
      </c>
      <c r="K2054" s="22"/>
      <c r="L2054" s="22"/>
      <c r="M2054" s="22"/>
      <c r="N2054" s="22"/>
      <c r="O2054" s="22"/>
      <c r="P2054" s="22"/>
      <c r="Q2054" s="22"/>
      <c r="R2054" s="22"/>
      <c r="S2054" s="37">
        <f>SUM(G2054:R2054)</f>
        <v>36000</v>
      </c>
      <c r="T2054" s="22">
        <f>SUM(F2054*IF(E2054=_current_year,_current_month,12)-(S2054))</f>
        <v>0</v>
      </c>
    </row>
    <row r="2055" spans="1:39" s="220" customFormat="1" ht="48" customHeight="1" x14ac:dyDescent="0.4">
      <c r="A2055" s="705"/>
      <c r="B2055" s="33" t="s">
        <v>28</v>
      </c>
      <c r="C2055" s="34" t="s">
        <v>516</v>
      </c>
      <c r="D2055" s="35"/>
      <c r="E2055" s="30"/>
      <c r="F2055" s="251"/>
      <c r="H2055" s="36"/>
      <c r="I2055" s="36"/>
      <c r="J2055" s="36"/>
      <c r="K2055" s="36"/>
      <c r="L2055" s="36"/>
      <c r="M2055" s="36"/>
      <c r="N2055" s="36"/>
      <c r="O2055" s="36"/>
      <c r="P2055" s="36"/>
      <c r="Q2055" s="36"/>
      <c r="R2055" s="36"/>
      <c r="S2055" s="37"/>
      <c r="T2055" s="37"/>
      <c r="AM2055" s="250"/>
    </row>
    <row r="2056" spans="1:39" s="220" customFormat="1" ht="51.75" customHeight="1" x14ac:dyDescent="0.4">
      <c r="A2056" s="739" t="s">
        <v>445</v>
      </c>
      <c r="B2056" s="33" t="s">
        <v>28</v>
      </c>
      <c r="C2056" s="38" t="s">
        <v>52</v>
      </c>
      <c r="D2056" s="124"/>
      <c r="E2056" s="30"/>
      <c r="F2056" s="251"/>
      <c r="G2056" s="482"/>
      <c r="H2056" s="482"/>
      <c r="I2056" s="482"/>
      <c r="J2056" s="482"/>
      <c r="K2056" s="482"/>
      <c r="L2056" s="482"/>
      <c r="M2056" s="482"/>
      <c r="N2056" s="482"/>
      <c r="O2056" s="482"/>
      <c r="P2056" s="482"/>
      <c r="Q2056" s="482"/>
      <c r="R2056" s="482"/>
      <c r="S2056" s="252"/>
      <c r="T2056" s="252"/>
      <c r="AM2056" s="250"/>
    </row>
    <row r="2057" spans="1:39" s="523" customFormat="1" ht="51.75" customHeight="1" thickBot="1" x14ac:dyDescent="0.45">
      <c r="A2057" s="253"/>
      <c r="C2057" s="658"/>
      <c r="D2057" s="659"/>
      <c r="E2057" s="526"/>
      <c r="F2057" s="265"/>
      <c r="G2057" s="489"/>
      <c r="H2057" s="489"/>
      <c r="I2057" s="489"/>
      <c r="J2057" s="489"/>
      <c r="K2057" s="489"/>
      <c r="L2057" s="489"/>
      <c r="M2057" s="489"/>
      <c r="N2057" s="489"/>
      <c r="O2057" s="489"/>
      <c r="P2057" s="489"/>
      <c r="Q2057" s="489"/>
      <c r="R2057" s="489"/>
      <c r="S2057" s="178">
        <f>SUM(S2053:S2056)</f>
        <v>36000</v>
      </c>
      <c r="T2057" s="87">
        <f>SUM(T2053:T2056)</f>
        <v>60000</v>
      </c>
      <c r="AM2057" s="525"/>
    </row>
    <row r="2058" spans="1:39" s="523" customFormat="1" ht="51.75" customHeight="1" x14ac:dyDescent="0.4">
      <c r="A2058" s="253"/>
      <c r="C2058" s="658"/>
      <c r="D2058" s="659"/>
      <c r="E2058" s="526"/>
      <c r="F2058" s="264"/>
      <c r="G2058" s="484"/>
      <c r="H2058" s="484"/>
      <c r="I2058" s="484"/>
      <c r="J2058" s="484"/>
      <c r="K2058" s="484"/>
      <c r="L2058" s="484"/>
      <c r="M2058" s="484"/>
      <c r="N2058" s="484"/>
      <c r="O2058" s="484"/>
      <c r="P2058" s="484"/>
      <c r="Q2058" s="484"/>
      <c r="R2058" s="484"/>
      <c r="S2058" s="517"/>
      <c r="T2058" s="517"/>
      <c r="AM2058" s="525"/>
    </row>
    <row r="2059" spans="1:39" s="523" customFormat="1" ht="51.75" customHeight="1" x14ac:dyDescent="0.45">
      <c r="A2059" s="253"/>
      <c r="C2059" s="658"/>
      <c r="D2059" s="659"/>
      <c r="F2059" s="253"/>
      <c r="G2059" s="512"/>
      <c r="H2059" s="512"/>
      <c r="I2059" s="512"/>
      <c r="J2059" s="512"/>
      <c r="K2059" s="512"/>
      <c r="L2059" s="512"/>
      <c r="M2059" s="512"/>
      <c r="N2059" s="512"/>
      <c r="O2059" s="512"/>
      <c r="P2059" s="512"/>
      <c r="Q2059" s="512"/>
      <c r="R2059" s="512"/>
      <c r="S2059" s="269"/>
      <c r="T2059" s="269"/>
      <c r="AM2059" s="525"/>
    </row>
    <row r="2060" spans="1:39" s="374" customFormat="1" ht="51.75" customHeight="1" x14ac:dyDescent="0.4">
      <c r="A2060" s="241" t="s">
        <v>6</v>
      </c>
      <c r="B2060" s="368" t="s">
        <v>7</v>
      </c>
      <c r="C2060" s="369" t="s">
        <v>8</v>
      </c>
      <c r="D2060" s="518" t="s">
        <v>231</v>
      </c>
      <c r="E2060" s="371" t="s">
        <v>10</v>
      </c>
      <c r="F2060" s="372" t="s">
        <v>11</v>
      </c>
      <c r="G2060" s="476" t="s">
        <v>12</v>
      </c>
      <c r="H2060" s="476" t="s">
        <v>13</v>
      </c>
      <c r="I2060" s="476" t="s">
        <v>14</v>
      </c>
      <c r="J2060" s="476" t="s">
        <v>15</v>
      </c>
      <c r="K2060" s="476" t="s">
        <v>16</v>
      </c>
      <c r="L2060" s="476" t="s">
        <v>17</v>
      </c>
      <c r="M2060" s="476" t="s">
        <v>18</v>
      </c>
      <c r="N2060" s="476" t="s">
        <v>19</v>
      </c>
      <c r="O2060" s="476" t="s">
        <v>20</v>
      </c>
      <c r="P2060" s="476" t="s">
        <v>21</v>
      </c>
      <c r="Q2060" s="476" t="s">
        <v>22</v>
      </c>
      <c r="R2060" s="476" t="s">
        <v>23</v>
      </c>
      <c r="S2060" s="20" t="s">
        <v>24</v>
      </c>
      <c r="T2060" s="20" t="s">
        <v>25</v>
      </c>
      <c r="AM2060" s="375"/>
    </row>
    <row r="2061" spans="1:39" ht="51.75" customHeight="1" x14ac:dyDescent="0.25">
      <c r="A2061" s="746" t="s">
        <v>517</v>
      </c>
      <c r="B2061" s="17"/>
      <c r="C2061" s="519" t="s">
        <v>518</v>
      </c>
      <c r="D2061" s="19"/>
      <c r="E2061" s="26">
        <v>2025</v>
      </c>
      <c r="F2061" s="27">
        <v>3000</v>
      </c>
      <c r="G2061" s="22"/>
      <c r="H2061" s="22"/>
      <c r="I2061" s="22"/>
      <c r="J2061" s="22"/>
      <c r="K2061" s="22"/>
      <c r="L2061" s="22"/>
      <c r="M2061" s="22"/>
      <c r="N2061" s="22"/>
      <c r="O2061" s="22"/>
      <c r="P2061" s="22"/>
      <c r="Q2061" s="22"/>
      <c r="R2061" s="22"/>
      <c r="S2061" s="64">
        <f>SUM(G2061:R2061)</f>
        <v>0</v>
      </c>
      <c r="T2061" s="29">
        <f>SUM(F2061*IF(E2061=_current_year,_current_month,12)-(S2061))</f>
        <v>36000</v>
      </c>
    </row>
    <row r="2062" spans="1:39" ht="51.75" customHeight="1" x14ac:dyDescent="0.25">
      <c r="A2062" s="747"/>
      <c r="B2062" s="17"/>
      <c r="C2062" s="684"/>
      <c r="D2062" s="19"/>
      <c r="E2062" s="30">
        <v>2024</v>
      </c>
      <c r="F2062" s="27">
        <v>3000</v>
      </c>
      <c r="G2062" s="22"/>
      <c r="H2062" s="22"/>
      <c r="I2062" s="22">
        <v>36000</v>
      </c>
      <c r="J2062" s="22"/>
      <c r="K2062" s="22"/>
      <c r="L2062" s="22"/>
      <c r="M2062" s="22"/>
      <c r="N2062" s="22"/>
      <c r="O2062" s="22"/>
      <c r="P2062" s="22"/>
      <c r="Q2062" s="22"/>
      <c r="R2062" s="22"/>
      <c r="S2062" s="37">
        <f>SUM(G2062:R2062)</f>
        <v>36000</v>
      </c>
      <c r="T2062" s="22">
        <f>SUM(F2062*IF(E2062=_current_year,_current_month,12)-(S2062))</f>
        <v>0</v>
      </c>
    </row>
    <row r="2063" spans="1:39" ht="51.75" customHeight="1" x14ac:dyDescent="0.25">
      <c r="A2063" s="747"/>
      <c r="B2063" s="17"/>
      <c r="C2063" s="520"/>
      <c r="D2063" s="19"/>
      <c r="E2063" s="30">
        <v>2023</v>
      </c>
      <c r="F2063" s="27">
        <v>3000</v>
      </c>
      <c r="G2063" s="22"/>
      <c r="H2063" s="22"/>
      <c r="I2063" s="22">
        <v>36000</v>
      </c>
      <c r="J2063" s="22"/>
      <c r="K2063" s="22"/>
      <c r="L2063" s="22"/>
      <c r="M2063" s="22"/>
      <c r="N2063" s="22"/>
      <c r="O2063" s="22"/>
      <c r="P2063" s="22"/>
      <c r="Q2063" s="22"/>
      <c r="R2063" s="22"/>
      <c r="S2063" s="37">
        <f>SUM(G2063:R2063)</f>
        <v>36000</v>
      </c>
      <c r="T2063" s="22">
        <f>SUM(F2063*IF(E2063=_current_year,_current_month,12)-(S2063))</f>
        <v>0</v>
      </c>
    </row>
    <row r="2064" spans="1:39" s="220" customFormat="1" ht="48" customHeight="1" x14ac:dyDescent="0.4">
      <c r="A2064" s="747"/>
      <c r="B2064" s="33" t="s">
        <v>28</v>
      </c>
      <c r="C2064" s="34"/>
      <c r="D2064" s="35"/>
      <c r="E2064" s="30">
        <v>2022</v>
      </c>
      <c r="F2064" s="251">
        <v>3000</v>
      </c>
      <c r="G2064" s="36"/>
      <c r="H2064" s="36"/>
      <c r="I2064" s="60"/>
      <c r="J2064" s="36">
        <v>18000</v>
      </c>
      <c r="K2064" s="36"/>
      <c r="L2064" s="36"/>
      <c r="M2064" s="36"/>
      <c r="N2064" s="36">
        <v>18000</v>
      </c>
      <c r="O2064" s="36"/>
      <c r="P2064" s="36"/>
      <c r="Q2064" s="36"/>
      <c r="R2064" s="36"/>
      <c r="S2064" s="37">
        <f>SUM(J2064:R2064)</f>
        <v>36000</v>
      </c>
      <c r="T2064" s="22">
        <f>SUM(27000-S2064)</f>
        <v>-9000</v>
      </c>
      <c r="AM2064" s="250"/>
    </row>
    <row r="2065" spans="1:39" s="523" customFormat="1" ht="51.75" customHeight="1" x14ac:dyDescent="0.35">
      <c r="A2065" s="313" t="s">
        <v>445</v>
      </c>
      <c r="B2065" s="523" t="s">
        <v>28</v>
      </c>
      <c r="C2065" s="38" t="s">
        <v>52</v>
      </c>
      <c r="D2065" s="124"/>
      <c r="E2065" s="748"/>
      <c r="F2065" s="749"/>
      <c r="G2065" s="749"/>
      <c r="H2065" s="749"/>
      <c r="I2065" s="749"/>
      <c r="J2065" s="749"/>
      <c r="K2065" s="749"/>
      <c r="L2065" s="749"/>
      <c r="M2065" s="749"/>
      <c r="N2065" s="749"/>
      <c r="O2065" s="749"/>
      <c r="P2065" s="749"/>
      <c r="Q2065" s="749"/>
      <c r="R2065" s="749"/>
      <c r="S2065" s="749"/>
      <c r="T2065" s="750"/>
      <c r="AM2065" s="525"/>
    </row>
    <row r="2066" spans="1:39" s="523" customFormat="1" ht="51.75" customHeight="1" x14ac:dyDescent="0.35">
      <c r="A2066" s="313"/>
      <c r="C2066" s="125"/>
      <c r="D2066" s="126"/>
      <c r="E2066" s="751"/>
      <c r="F2066" s="658"/>
      <c r="G2066" s="658"/>
      <c r="H2066" s="658"/>
      <c r="I2066" s="658"/>
      <c r="J2066" s="658"/>
      <c r="K2066" s="658"/>
      <c r="L2066" s="658"/>
      <c r="M2066" s="658"/>
      <c r="N2066" s="658"/>
      <c r="O2066" s="658"/>
      <c r="P2066" s="658"/>
      <c r="Q2066" s="658"/>
      <c r="R2066" s="658"/>
      <c r="S2066" s="658"/>
      <c r="T2066" s="752"/>
      <c r="AM2066" s="525"/>
    </row>
    <row r="2067" spans="1:39" s="523" customFormat="1" ht="51.75" customHeight="1" thickBot="1" x14ac:dyDescent="0.45">
      <c r="A2067" s="253"/>
      <c r="C2067" s="658"/>
      <c r="D2067" s="659"/>
      <c r="E2067" s="526"/>
      <c r="F2067" s="265"/>
      <c r="G2067" s="489"/>
      <c r="H2067" s="489"/>
      <c r="I2067" s="489"/>
      <c r="J2067" s="489"/>
      <c r="K2067" s="489"/>
      <c r="L2067" s="489"/>
      <c r="M2067" s="489"/>
      <c r="N2067" s="489"/>
      <c r="O2067" s="489"/>
      <c r="P2067" s="489"/>
      <c r="Q2067" s="489"/>
      <c r="R2067" s="489"/>
      <c r="S2067" s="178">
        <f>SUM(S2061:S2066)</f>
        <v>108000</v>
      </c>
      <c r="T2067" s="87">
        <f>SUM(T2061:T2066)</f>
        <v>27000</v>
      </c>
      <c r="AM2067" s="525"/>
    </row>
    <row r="2068" spans="1:39" s="523" customFormat="1" ht="51.75" customHeight="1" x14ac:dyDescent="0.4">
      <c r="A2068" s="253"/>
      <c r="C2068" s="658"/>
      <c r="D2068" s="659"/>
      <c r="E2068" s="526"/>
      <c r="F2068" s="264"/>
      <c r="G2068" s="484"/>
      <c r="H2068" s="484"/>
      <c r="I2068" s="484"/>
      <c r="J2068" s="484"/>
      <c r="K2068" s="484"/>
      <c r="L2068" s="484"/>
      <c r="M2068" s="484"/>
      <c r="N2068" s="484"/>
      <c r="O2068" s="484"/>
      <c r="P2068" s="484"/>
      <c r="Q2068" s="484"/>
      <c r="R2068" s="484"/>
      <c r="S2068" s="517"/>
      <c r="T2068" s="517"/>
      <c r="AM2068" s="525"/>
    </row>
    <row r="2069" spans="1:39" s="523" customFormat="1" ht="51.75" customHeight="1" x14ac:dyDescent="0.4">
      <c r="A2069" s="253"/>
      <c r="C2069" s="658"/>
      <c r="D2069" s="659"/>
      <c r="E2069" s="526"/>
      <c r="F2069" s="264"/>
      <c r="G2069" s="484"/>
      <c r="H2069" s="484"/>
      <c r="I2069" s="484"/>
      <c r="J2069" s="484"/>
      <c r="K2069" s="484"/>
      <c r="L2069" s="484"/>
      <c r="M2069" s="484"/>
      <c r="N2069" s="484"/>
      <c r="O2069" s="484"/>
      <c r="P2069" s="484"/>
      <c r="Q2069" s="484"/>
      <c r="R2069" s="484"/>
      <c r="S2069" s="517"/>
      <c r="T2069" s="517"/>
      <c r="AM2069" s="525"/>
    </row>
    <row r="2070" spans="1:39" s="374" customFormat="1" ht="51.75" customHeight="1" x14ac:dyDescent="0.4">
      <c r="A2070" s="241" t="s">
        <v>6</v>
      </c>
      <c r="B2070" s="368" t="s">
        <v>7</v>
      </c>
      <c r="C2070" s="369" t="s">
        <v>8</v>
      </c>
      <c r="D2070" s="518" t="s">
        <v>231</v>
      </c>
      <c r="E2070" s="371" t="s">
        <v>10</v>
      </c>
      <c r="F2070" s="372" t="s">
        <v>11</v>
      </c>
      <c r="G2070" s="476" t="s">
        <v>12</v>
      </c>
      <c r="H2070" s="476" t="s">
        <v>13</v>
      </c>
      <c r="I2070" s="476" t="s">
        <v>14</v>
      </c>
      <c r="J2070" s="476" t="s">
        <v>15</v>
      </c>
      <c r="K2070" s="476" t="s">
        <v>16</v>
      </c>
      <c r="L2070" s="476" t="s">
        <v>17</v>
      </c>
      <c r="M2070" s="476" t="s">
        <v>18</v>
      </c>
      <c r="N2070" s="476" t="s">
        <v>19</v>
      </c>
      <c r="O2070" s="476" t="s">
        <v>20</v>
      </c>
      <c r="P2070" s="476" t="s">
        <v>21</v>
      </c>
      <c r="Q2070" s="476" t="s">
        <v>22</v>
      </c>
      <c r="R2070" s="476" t="s">
        <v>23</v>
      </c>
      <c r="S2070" s="20" t="s">
        <v>24</v>
      </c>
      <c r="T2070" s="20" t="s">
        <v>25</v>
      </c>
      <c r="AM2070" s="375"/>
    </row>
    <row r="2071" spans="1:39" ht="51.75" customHeight="1" x14ac:dyDescent="0.6">
      <c r="A2071" s="679"/>
      <c r="B2071" s="17"/>
      <c r="C2071" s="519" t="s">
        <v>519</v>
      </c>
      <c r="D2071" s="19"/>
      <c r="E2071" s="26">
        <v>2025</v>
      </c>
      <c r="F2071" s="251">
        <v>3000</v>
      </c>
      <c r="G2071" s="22"/>
      <c r="H2071" s="22"/>
      <c r="I2071" s="22"/>
      <c r="J2071" s="22"/>
      <c r="L2071" s="22"/>
      <c r="M2071" s="22"/>
      <c r="N2071" s="22"/>
      <c r="O2071" s="22"/>
      <c r="P2071" s="22"/>
      <c r="Q2071" s="22"/>
      <c r="R2071" s="22"/>
      <c r="S2071" s="64">
        <f>SUM(G2071:R2071)</f>
        <v>0</v>
      </c>
      <c r="T2071" s="29">
        <f>SUM(F2071*IF(E2071=_current_year,_current_month,12)-(S2071))</f>
        <v>36000</v>
      </c>
    </row>
    <row r="2072" spans="1:39" ht="51.75" customHeight="1" x14ac:dyDescent="0.25">
      <c r="A2072" s="704" t="s">
        <v>520</v>
      </c>
      <c r="B2072" s="17"/>
      <c r="C2072" s="520"/>
      <c r="D2072" s="19"/>
      <c r="E2072" s="30">
        <v>2024</v>
      </c>
      <c r="F2072" s="251">
        <v>3000</v>
      </c>
      <c r="G2072" s="22"/>
      <c r="H2072" s="22"/>
      <c r="I2072" s="22"/>
      <c r="J2072" s="22">
        <v>36000</v>
      </c>
      <c r="K2072" s="22"/>
      <c r="L2072" s="22"/>
      <c r="M2072" s="22"/>
      <c r="N2072" s="22"/>
      <c r="O2072" s="22"/>
      <c r="P2072" s="22"/>
      <c r="Q2072" s="22"/>
      <c r="R2072" s="22"/>
      <c r="S2072" s="37">
        <f>SUM(G2072:R2072)</f>
        <v>36000</v>
      </c>
      <c r="T2072" s="22">
        <f>SUM(F2072*IF(E2072=_current_year,_current_month,12)-(S2072))</f>
        <v>0</v>
      </c>
    </row>
    <row r="2073" spans="1:39" s="220" customFormat="1" ht="48" customHeight="1" x14ac:dyDescent="0.4">
      <c r="A2073" s="705"/>
      <c r="B2073" s="33" t="s">
        <v>28</v>
      </c>
      <c r="C2073" s="34"/>
      <c r="D2073" s="35"/>
      <c r="E2073" s="30"/>
      <c r="F2073" s="251"/>
      <c r="H2073" s="36"/>
      <c r="I2073" s="36"/>
      <c r="J2073" s="36"/>
      <c r="K2073" s="36"/>
      <c r="L2073" s="36"/>
      <c r="M2073" s="36"/>
      <c r="N2073" s="36"/>
      <c r="O2073" s="36"/>
      <c r="P2073" s="36"/>
      <c r="Q2073" s="36"/>
      <c r="R2073" s="36"/>
      <c r="S2073" s="37"/>
      <c r="T2073" s="37"/>
      <c r="AM2073" s="250"/>
    </row>
    <row r="2074" spans="1:39" s="220" customFormat="1" ht="51.75" customHeight="1" x14ac:dyDescent="0.4">
      <c r="A2074" s="739" t="s">
        <v>445</v>
      </c>
      <c r="B2074" s="33" t="s">
        <v>28</v>
      </c>
      <c r="C2074" s="38" t="s">
        <v>52</v>
      </c>
      <c r="D2074" s="124"/>
      <c r="E2074" s="30"/>
      <c r="F2074" s="251"/>
      <c r="G2074" s="482"/>
      <c r="H2074" s="482"/>
      <c r="I2074" s="482"/>
      <c r="J2074" s="482"/>
      <c r="K2074" s="482"/>
      <c r="L2074" s="482"/>
      <c r="M2074" s="482"/>
      <c r="N2074" s="482"/>
      <c r="O2074" s="482"/>
      <c r="P2074" s="482"/>
      <c r="Q2074" s="482"/>
      <c r="R2074" s="482"/>
      <c r="S2074" s="252"/>
      <c r="T2074" s="252"/>
      <c r="AM2074" s="250"/>
    </row>
    <row r="2075" spans="1:39" s="523" customFormat="1" ht="51.75" customHeight="1" thickBot="1" x14ac:dyDescent="0.45">
      <c r="A2075" s="253"/>
      <c r="C2075" s="658"/>
      <c r="D2075" s="659"/>
      <c r="E2075" s="526"/>
      <c r="F2075" s="265"/>
      <c r="G2075" s="489"/>
      <c r="H2075" s="489"/>
      <c r="I2075" s="489"/>
      <c r="J2075" s="489"/>
      <c r="K2075" s="489"/>
      <c r="L2075" s="489"/>
      <c r="M2075" s="489"/>
      <c r="N2075" s="489"/>
      <c r="O2075" s="489"/>
      <c r="P2075" s="489"/>
      <c r="Q2075" s="489"/>
      <c r="R2075" s="489"/>
      <c r="S2075" s="178">
        <f>SUM(S2072:S2074)</f>
        <v>36000</v>
      </c>
      <c r="T2075" s="87">
        <f>SUM(T2071:T2074)</f>
        <v>36000</v>
      </c>
      <c r="AM2075" s="525"/>
    </row>
    <row r="2076" spans="1:39" s="523" customFormat="1" ht="51.75" customHeight="1" x14ac:dyDescent="0.4">
      <c r="A2076" s="253"/>
      <c r="C2076" s="658"/>
      <c r="D2076" s="659"/>
      <c r="E2076" s="526"/>
      <c r="F2076" s="264"/>
      <c r="G2076" s="484"/>
      <c r="H2076" s="484"/>
      <c r="I2076" s="484"/>
      <c r="J2076" s="484"/>
      <c r="K2076" s="484"/>
      <c r="L2076" s="484"/>
      <c r="M2076" s="484"/>
      <c r="N2076" s="484"/>
      <c r="O2076" s="484"/>
      <c r="P2076" s="484"/>
      <c r="Q2076" s="484"/>
      <c r="R2076" s="484"/>
      <c r="S2076" s="517"/>
      <c r="T2076" s="517"/>
      <c r="AM2076" s="525"/>
    </row>
    <row r="2077" spans="1:39" s="374" customFormat="1" ht="51.75" customHeight="1" x14ac:dyDescent="0.4">
      <c r="A2077" s="241" t="s">
        <v>6</v>
      </c>
      <c r="B2077" s="368" t="s">
        <v>7</v>
      </c>
      <c r="C2077" s="369" t="s">
        <v>8</v>
      </c>
      <c r="D2077" s="518" t="s">
        <v>231</v>
      </c>
      <c r="E2077" s="371" t="s">
        <v>10</v>
      </c>
      <c r="F2077" s="372" t="s">
        <v>11</v>
      </c>
      <c r="G2077" s="476" t="s">
        <v>12</v>
      </c>
      <c r="H2077" s="476" t="s">
        <v>13</v>
      </c>
      <c r="I2077" s="476" t="s">
        <v>14</v>
      </c>
      <c r="J2077" s="476" t="s">
        <v>15</v>
      </c>
      <c r="K2077" s="476" t="s">
        <v>16</v>
      </c>
      <c r="L2077" s="476" t="s">
        <v>17</v>
      </c>
      <c r="M2077" s="476" t="s">
        <v>18</v>
      </c>
      <c r="N2077" s="476" t="s">
        <v>19</v>
      </c>
      <c r="O2077" s="476" t="s">
        <v>20</v>
      </c>
      <c r="P2077" s="476" t="s">
        <v>21</v>
      </c>
      <c r="Q2077" s="476" t="s">
        <v>22</v>
      </c>
      <c r="R2077" s="476" t="s">
        <v>23</v>
      </c>
      <c r="S2077" s="20" t="s">
        <v>24</v>
      </c>
      <c r="T2077" s="20" t="s">
        <v>25</v>
      </c>
      <c r="AM2077" s="375"/>
    </row>
    <row r="2078" spans="1:39" ht="51.75" customHeight="1" x14ac:dyDescent="0.25">
      <c r="A2078" s="717" t="s">
        <v>521</v>
      </c>
      <c r="B2078" s="17"/>
      <c r="C2078" s="654" t="s">
        <v>522</v>
      </c>
      <c r="D2078" s="19"/>
      <c r="E2078" s="26">
        <v>2025</v>
      </c>
      <c r="F2078" s="27">
        <v>10000</v>
      </c>
      <c r="G2078" s="22"/>
      <c r="H2078" s="22"/>
      <c r="I2078" s="22"/>
      <c r="J2078" s="22"/>
      <c r="K2078" s="22">
        <v>60000</v>
      </c>
      <c r="L2078" s="22"/>
      <c r="M2078" s="22"/>
      <c r="N2078" s="22"/>
      <c r="O2078" s="22">
        <v>50000</v>
      </c>
      <c r="P2078" s="22"/>
      <c r="Q2078" s="22"/>
      <c r="R2078" s="22"/>
      <c r="S2078" s="64">
        <f t="shared" ref="S2078:S2083" si="125">SUM(G2078:R2078)</f>
        <v>110000</v>
      </c>
      <c r="T2078" s="29">
        <f>SUM(F2078*IF(E2078=_current_year,_current_month,12)-(S2078))</f>
        <v>10000</v>
      </c>
    </row>
    <row r="2079" spans="1:39" ht="51.75" customHeight="1" x14ac:dyDescent="0.25">
      <c r="A2079" s="718"/>
      <c r="B2079" s="17"/>
      <c r="C2079" s="656"/>
      <c r="D2079" s="19"/>
      <c r="E2079" s="30">
        <v>2024</v>
      </c>
      <c r="F2079" s="27">
        <v>5000</v>
      </c>
      <c r="G2079" s="22"/>
      <c r="H2079" s="22"/>
      <c r="I2079" s="22"/>
      <c r="J2079" s="22">
        <v>25000</v>
      </c>
      <c r="K2079" s="22"/>
      <c r="L2079" s="22"/>
      <c r="M2079" s="22"/>
      <c r="N2079" s="22"/>
      <c r="O2079" s="22">
        <v>20000</v>
      </c>
      <c r="P2079" s="22"/>
      <c r="Q2079" s="22"/>
      <c r="R2079" s="22"/>
      <c r="S2079" s="37">
        <f t="shared" si="125"/>
        <v>45000</v>
      </c>
      <c r="T2079" s="22">
        <f>SUM(F2079*IF(E2079=_current_year,_current_month,12)-(S2079))</f>
        <v>15000</v>
      </c>
    </row>
    <row r="2080" spans="1:39" ht="51.75" customHeight="1" x14ac:dyDescent="0.25">
      <c r="A2080" s="718"/>
      <c r="B2080" s="17"/>
      <c r="C2080" s="657"/>
      <c r="D2080" s="19"/>
      <c r="E2080" s="30">
        <v>2023</v>
      </c>
      <c r="F2080" s="27">
        <v>5000</v>
      </c>
      <c r="G2080" s="22"/>
      <c r="H2080" s="22"/>
      <c r="I2080" s="22"/>
      <c r="J2080" s="22">
        <v>60000</v>
      </c>
      <c r="K2080" s="22"/>
      <c r="L2080" s="22"/>
      <c r="M2080" s="22"/>
      <c r="N2080" s="22"/>
      <c r="O2080" s="22"/>
      <c r="P2080" s="22"/>
      <c r="Q2080" s="22"/>
      <c r="R2080" s="22"/>
      <c r="S2080" s="37">
        <f t="shared" si="125"/>
        <v>60000</v>
      </c>
      <c r="T2080" s="252">
        <f>SUM(F2080*12)-(S2080)</f>
        <v>0</v>
      </c>
    </row>
    <row r="2081" spans="1:39" s="220" customFormat="1" ht="48" customHeight="1" x14ac:dyDescent="0.4">
      <c r="A2081" s="718"/>
      <c r="B2081" s="33" t="s">
        <v>28</v>
      </c>
      <c r="C2081" s="34"/>
      <c r="D2081" s="35"/>
      <c r="E2081" s="30">
        <v>2022</v>
      </c>
      <c r="F2081" s="251">
        <v>5000</v>
      </c>
      <c r="G2081" s="36"/>
      <c r="H2081" s="36">
        <v>60000</v>
      </c>
      <c r="I2081" s="36"/>
      <c r="J2081" s="36"/>
      <c r="K2081" s="36"/>
      <c r="L2081" s="36"/>
      <c r="M2081" s="36"/>
      <c r="N2081" s="36"/>
      <c r="O2081" s="36"/>
      <c r="P2081" s="36"/>
      <c r="Q2081" s="36"/>
      <c r="R2081" s="36"/>
      <c r="S2081" s="37">
        <f t="shared" si="125"/>
        <v>60000</v>
      </c>
      <c r="T2081" s="252">
        <f>SUM(60000-S2081)</f>
        <v>0</v>
      </c>
      <c r="AM2081" s="250"/>
    </row>
    <row r="2082" spans="1:39" s="220" customFormat="1" ht="51.75" customHeight="1" x14ac:dyDescent="0.4">
      <c r="A2082" s="313" t="s">
        <v>445</v>
      </c>
      <c r="B2082" s="33" t="s">
        <v>28</v>
      </c>
      <c r="C2082" s="80" t="s">
        <v>52</v>
      </c>
      <c r="D2082" s="124"/>
      <c r="E2082" s="30">
        <v>2021</v>
      </c>
      <c r="F2082" s="251">
        <v>5000</v>
      </c>
      <c r="G2082" s="482">
        <v>60000</v>
      </c>
      <c r="H2082" s="482"/>
      <c r="I2082" s="482"/>
      <c r="J2082" s="482"/>
      <c r="K2082" s="482"/>
      <c r="L2082" s="482"/>
      <c r="M2082" s="482"/>
      <c r="N2082" s="482"/>
      <c r="O2082" s="482"/>
      <c r="P2082" s="482"/>
      <c r="Q2082" s="482"/>
      <c r="R2082" s="482"/>
      <c r="S2082" s="252">
        <f t="shared" si="125"/>
        <v>60000</v>
      </c>
      <c r="T2082" s="252">
        <f>SUM(60000-S2082)</f>
        <v>0</v>
      </c>
      <c r="AM2082" s="250"/>
    </row>
    <row r="2083" spans="1:39" s="523" customFormat="1" ht="51.75" customHeight="1" x14ac:dyDescent="0.35">
      <c r="A2083" s="313"/>
      <c r="B2083" s="523" t="s">
        <v>28</v>
      </c>
      <c r="C2083" s="82"/>
      <c r="D2083" s="126"/>
      <c r="E2083" s="660">
        <v>2020</v>
      </c>
      <c r="F2083" s="251">
        <v>5000</v>
      </c>
      <c r="G2083" s="516"/>
      <c r="H2083" s="516"/>
      <c r="I2083" s="516"/>
      <c r="J2083" s="516"/>
      <c r="K2083" s="516"/>
      <c r="L2083" s="516"/>
      <c r="M2083" s="753">
        <v>5000</v>
      </c>
      <c r="N2083" s="516"/>
      <c r="O2083" s="516"/>
      <c r="P2083" s="516">
        <v>25000</v>
      </c>
      <c r="Q2083" s="516"/>
      <c r="R2083" s="516"/>
      <c r="S2083" s="252">
        <f t="shared" si="125"/>
        <v>30000</v>
      </c>
      <c r="T2083" s="257">
        <f>SUM(25000-S2083)</f>
        <v>-5000</v>
      </c>
      <c r="AM2083" s="525"/>
    </row>
    <row r="2084" spans="1:39" s="523" customFormat="1" ht="51.75" customHeight="1" thickBot="1" x14ac:dyDescent="0.45">
      <c r="A2084" s="253"/>
      <c r="C2084" s="658"/>
      <c r="D2084" s="659"/>
      <c r="E2084" s="526"/>
      <c r="F2084" s="265"/>
      <c r="G2084" s="489"/>
      <c r="H2084" s="489"/>
      <c r="I2084" s="489"/>
      <c r="J2084" s="489"/>
      <c r="K2084" s="489"/>
      <c r="L2084" s="489"/>
      <c r="M2084" s="489"/>
      <c r="N2084" s="489"/>
      <c r="O2084" s="489"/>
      <c r="P2084" s="489"/>
      <c r="Q2084" s="489"/>
      <c r="R2084" s="489"/>
      <c r="S2084" s="178">
        <f>SUM(S2078:S2083)</f>
        <v>365000</v>
      </c>
      <c r="T2084" s="87">
        <f>SUM(T2078:T2083)</f>
        <v>20000</v>
      </c>
      <c r="AM2084" s="525"/>
    </row>
    <row r="2085" spans="1:39" s="523" customFormat="1" ht="51.75" customHeight="1" x14ac:dyDescent="0.4">
      <c r="A2085" s="253"/>
      <c r="C2085" s="658"/>
      <c r="D2085" s="659"/>
      <c r="E2085" s="695"/>
      <c r="F2085" s="234"/>
      <c r="G2085" s="389"/>
      <c r="H2085" s="389"/>
      <c r="I2085" s="389"/>
      <c r="J2085" s="389"/>
      <c r="K2085" s="389"/>
      <c r="L2085" s="389"/>
      <c r="M2085" s="389"/>
      <c r="N2085" s="389"/>
      <c r="O2085" s="389"/>
      <c r="P2085" s="389"/>
      <c r="Q2085" s="389"/>
      <c r="R2085" s="389"/>
      <c r="S2085" s="344"/>
      <c r="T2085" s="344"/>
      <c r="AM2085" s="525"/>
    </row>
    <row r="2086" spans="1:39" s="374" customFormat="1" ht="51.75" customHeight="1" x14ac:dyDescent="0.4">
      <c r="A2086" s="241" t="s">
        <v>6</v>
      </c>
      <c r="B2086" s="368" t="s">
        <v>7</v>
      </c>
      <c r="C2086" s="369" t="s">
        <v>8</v>
      </c>
      <c r="D2086" s="518" t="s">
        <v>231</v>
      </c>
      <c r="E2086" s="371" t="s">
        <v>10</v>
      </c>
      <c r="F2086" s="372" t="s">
        <v>11</v>
      </c>
      <c r="G2086" s="476" t="s">
        <v>12</v>
      </c>
      <c r="H2086" s="476" t="s">
        <v>13</v>
      </c>
      <c r="I2086" s="476" t="s">
        <v>14</v>
      </c>
      <c r="J2086" s="476" t="s">
        <v>15</v>
      </c>
      <c r="K2086" s="476" t="s">
        <v>16</v>
      </c>
      <c r="L2086" s="476" t="s">
        <v>17</v>
      </c>
      <c r="M2086" s="476" t="s">
        <v>18</v>
      </c>
      <c r="N2086" s="476" t="s">
        <v>19</v>
      </c>
      <c r="O2086" s="476" t="s">
        <v>20</v>
      </c>
      <c r="P2086" s="476" t="s">
        <v>21</v>
      </c>
      <c r="Q2086" s="476" t="s">
        <v>22</v>
      </c>
      <c r="R2086" s="476" t="s">
        <v>23</v>
      </c>
      <c r="S2086" s="20" t="s">
        <v>24</v>
      </c>
      <c r="T2086" s="20" t="s">
        <v>25</v>
      </c>
      <c r="AM2086" s="375"/>
    </row>
    <row r="2087" spans="1:39" ht="51.75" customHeight="1" x14ac:dyDescent="0.25">
      <c r="A2087" s="754" t="s">
        <v>523</v>
      </c>
      <c r="B2087" s="17"/>
      <c r="C2087" s="56" t="s">
        <v>524</v>
      </c>
      <c r="D2087" s="19"/>
      <c r="E2087" s="26">
        <v>2025</v>
      </c>
      <c r="F2087" s="251">
        <v>10000</v>
      </c>
      <c r="G2087" s="22"/>
      <c r="H2087" s="22"/>
      <c r="I2087" s="22"/>
      <c r="J2087" s="22"/>
      <c r="K2087" s="22"/>
      <c r="L2087" s="22"/>
      <c r="M2087" s="22"/>
      <c r="N2087" s="22"/>
      <c r="O2087" s="22">
        <v>95000</v>
      </c>
      <c r="P2087" s="22"/>
      <c r="Q2087" s="22"/>
      <c r="R2087" s="22"/>
      <c r="S2087" s="64">
        <f>SUM(G2087:R2087)</f>
        <v>95000</v>
      </c>
      <c r="T2087" s="29">
        <f>SUM(F2087*IF(E2087=_current_year,_current_month,12)-(S2087))</f>
        <v>25000</v>
      </c>
    </row>
    <row r="2088" spans="1:39" ht="51.75" customHeight="1" x14ac:dyDescent="0.25">
      <c r="A2088" s="755"/>
      <c r="B2088" s="17"/>
      <c r="C2088" s="122"/>
      <c r="D2088" s="19"/>
      <c r="E2088" s="30">
        <v>2024</v>
      </c>
      <c r="F2088" s="251">
        <v>5000</v>
      </c>
      <c r="G2088" s="22"/>
      <c r="H2088" s="22"/>
      <c r="I2088" s="22"/>
      <c r="J2088" s="22"/>
      <c r="K2088" s="22"/>
      <c r="L2088" s="22"/>
      <c r="M2088" s="22"/>
      <c r="N2088" s="22"/>
      <c r="O2088" s="22"/>
      <c r="P2088" s="22"/>
      <c r="Q2088" s="60"/>
      <c r="R2088" s="22"/>
      <c r="S2088" s="37">
        <f>SUM(G2088:R2088)</f>
        <v>0</v>
      </c>
      <c r="T2088" s="22">
        <f>SUM(F2088*1-(S2088))</f>
        <v>5000</v>
      </c>
    </row>
    <row r="2089" spans="1:39" s="220" customFormat="1" ht="51.75" customHeight="1" x14ac:dyDescent="0.4">
      <c r="A2089" s="755"/>
      <c r="B2089" s="33" t="s">
        <v>28</v>
      </c>
      <c r="C2089" s="38" t="s">
        <v>52</v>
      </c>
      <c r="D2089" s="124"/>
      <c r="E2089" s="748"/>
      <c r="F2089" s="749"/>
      <c r="G2089" s="749"/>
      <c r="H2089" s="749"/>
      <c r="I2089" s="749"/>
      <c r="J2089" s="749"/>
      <c r="K2089" s="749"/>
      <c r="L2089" s="749"/>
      <c r="M2089" s="749"/>
      <c r="N2089" s="749"/>
      <c r="O2089" s="749"/>
      <c r="P2089" s="749"/>
      <c r="Q2089" s="749"/>
      <c r="R2089" s="749"/>
      <c r="S2089" s="749"/>
      <c r="T2089" s="750"/>
      <c r="AM2089" s="250"/>
    </row>
    <row r="2090" spans="1:39" s="523" customFormat="1" ht="51.75" customHeight="1" x14ac:dyDescent="0.35">
      <c r="A2090" s="313" t="s">
        <v>445</v>
      </c>
      <c r="C2090" s="125"/>
      <c r="D2090" s="126"/>
      <c r="E2090" s="751"/>
      <c r="F2090" s="658"/>
      <c r="G2090" s="658"/>
      <c r="H2090" s="658"/>
      <c r="I2090" s="658"/>
      <c r="J2090" s="658"/>
      <c r="K2090" s="658"/>
      <c r="L2090" s="658"/>
      <c r="M2090" s="658"/>
      <c r="N2090" s="658"/>
      <c r="O2090" s="658"/>
      <c r="P2090" s="658"/>
      <c r="Q2090" s="658"/>
      <c r="R2090" s="658"/>
      <c r="S2090" s="658"/>
      <c r="T2090" s="752"/>
      <c r="AM2090" s="525"/>
    </row>
    <row r="2091" spans="1:39" s="523" customFormat="1" ht="51.75" customHeight="1" x14ac:dyDescent="0.35">
      <c r="A2091" s="313"/>
      <c r="C2091" s="125"/>
      <c r="D2091" s="126"/>
      <c r="E2091" s="756"/>
      <c r="F2091" s="757"/>
      <c r="G2091" s="757"/>
      <c r="H2091" s="757"/>
      <c r="I2091" s="757"/>
      <c r="J2091" s="757"/>
      <c r="K2091" s="757"/>
      <c r="L2091" s="757"/>
      <c r="M2091" s="757"/>
      <c r="N2091" s="757"/>
      <c r="O2091" s="757"/>
      <c r="P2091" s="757"/>
      <c r="Q2091" s="757"/>
      <c r="R2091" s="757"/>
      <c r="S2091" s="757"/>
      <c r="T2091" s="758"/>
      <c r="AM2091" s="525"/>
    </row>
    <row r="2092" spans="1:39" s="523" customFormat="1" ht="51.75" customHeight="1" thickBot="1" x14ac:dyDescent="0.45">
      <c r="A2092" s="253"/>
      <c r="C2092" s="658"/>
      <c r="D2092" s="659"/>
      <c r="E2092" s="526"/>
      <c r="F2092" s="265"/>
      <c r="G2092" s="489"/>
      <c r="H2092" s="489"/>
      <c r="I2092" s="489"/>
      <c r="J2092" s="489"/>
      <c r="K2092" s="489"/>
      <c r="L2092" s="489"/>
      <c r="M2092" s="489"/>
      <c r="N2092" s="489"/>
      <c r="O2092" s="489"/>
      <c r="P2092" s="489"/>
      <c r="Q2092" s="489"/>
      <c r="R2092" s="489"/>
      <c r="S2092" s="178">
        <f>SUM(S2087:S2091)</f>
        <v>95000</v>
      </c>
      <c r="T2092" s="87">
        <f>SUM(T2087:T2091)</f>
        <v>30000</v>
      </c>
      <c r="AM2092" s="525"/>
    </row>
    <row r="2093" spans="1:39" s="523" customFormat="1" ht="51.75" customHeight="1" x14ac:dyDescent="0.4">
      <c r="A2093" s="253"/>
      <c r="C2093" s="658"/>
      <c r="D2093" s="659"/>
      <c r="E2093" s="526"/>
      <c r="F2093" s="264"/>
      <c r="G2093" s="484"/>
      <c r="H2093" s="484"/>
      <c r="I2093" s="484"/>
      <c r="J2093" s="484"/>
      <c r="K2093" s="484"/>
      <c r="L2093" s="484"/>
      <c r="M2093" s="484"/>
      <c r="N2093" s="484"/>
      <c r="O2093" s="484"/>
      <c r="P2093" s="484"/>
      <c r="Q2093" s="484"/>
      <c r="R2093" s="484"/>
      <c r="S2093" s="517"/>
      <c r="T2093" s="517"/>
      <c r="AM2093" s="525"/>
    </row>
    <row r="2094" spans="1:39" s="523" customFormat="1" ht="51.75" customHeight="1" x14ac:dyDescent="0.45">
      <c r="A2094" s="253"/>
      <c r="C2094" s="658"/>
      <c r="D2094" s="659"/>
      <c r="F2094" s="253"/>
      <c r="G2094" s="512"/>
      <c r="H2094" s="512"/>
      <c r="I2094" s="512"/>
      <c r="J2094" s="512"/>
      <c r="K2094" s="512"/>
      <c r="L2094" s="512"/>
      <c r="M2094" s="512"/>
      <c r="N2094" s="512"/>
      <c r="O2094" s="512"/>
      <c r="P2094" s="512"/>
      <c r="Q2094" s="512"/>
      <c r="R2094" s="512"/>
      <c r="S2094" s="269"/>
      <c r="T2094" s="269"/>
      <c r="AM2094" s="525"/>
    </row>
    <row r="2095" spans="1:39" s="374" customFormat="1" ht="51.75" customHeight="1" x14ac:dyDescent="0.4">
      <c r="A2095" s="241" t="s">
        <v>6</v>
      </c>
      <c r="B2095" s="368" t="s">
        <v>7</v>
      </c>
      <c r="C2095" s="369" t="s">
        <v>8</v>
      </c>
      <c r="D2095" s="518" t="s">
        <v>231</v>
      </c>
      <c r="E2095" s="371" t="s">
        <v>10</v>
      </c>
      <c r="F2095" s="372" t="s">
        <v>11</v>
      </c>
      <c r="G2095" s="476" t="s">
        <v>12</v>
      </c>
      <c r="H2095" s="476" t="s">
        <v>13</v>
      </c>
      <c r="I2095" s="476" t="s">
        <v>14</v>
      </c>
      <c r="J2095" s="476" t="s">
        <v>15</v>
      </c>
      <c r="K2095" s="476" t="s">
        <v>16</v>
      </c>
      <c r="L2095" s="476" t="s">
        <v>17</v>
      </c>
      <c r="M2095" s="476" t="s">
        <v>18</v>
      </c>
      <c r="N2095" s="476" t="s">
        <v>19</v>
      </c>
      <c r="O2095" s="476" t="s">
        <v>20</v>
      </c>
      <c r="P2095" s="476" t="s">
        <v>21</v>
      </c>
      <c r="Q2095" s="476" t="s">
        <v>22</v>
      </c>
      <c r="R2095" s="476" t="s">
        <v>23</v>
      </c>
      <c r="S2095" s="20" t="s">
        <v>24</v>
      </c>
      <c r="T2095" s="20" t="s">
        <v>25</v>
      </c>
      <c r="AM2095" s="375"/>
    </row>
    <row r="2096" spans="1:39" ht="51.75" customHeight="1" x14ac:dyDescent="0.25">
      <c r="A2096" s="754" t="s">
        <v>525</v>
      </c>
      <c r="B2096" s="17"/>
      <c r="C2096" s="56" t="s">
        <v>526</v>
      </c>
      <c r="D2096" s="19"/>
      <c r="E2096" s="26">
        <v>2025</v>
      </c>
      <c r="F2096" s="251">
        <v>3000</v>
      </c>
      <c r="G2096" s="22"/>
      <c r="H2096" s="22">
        <v>9000</v>
      </c>
      <c r="I2096" s="22"/>
      <c r="J2096" s="22">
        <v>15000</v>
      </c>
      <c r="K2096" s="22"/>
      <c r="L2096" s="22">
        <v>15000</v>
      </c>
      <c r="M2096" s="22"/>
      <c r="N2096" s="22"/>
      <c r="O2096" s="22"/>
      <c r="P2096" s="22"/>
      <c r="Q2096" s="22"/>
      <c r="R2096" s="22"/>
      <c r="S2096" s="64">
        <f>SUM(G2096:R2096)</f>
        <v>39000</v>
      </c>
      <c r="T2096" s="29">
        <f>SUM(F2096*IF(E2096=_current_year,_current_month,12)-(S2096))</f>
        <v>-3000</v>
      </c>
    </row>
    <row r="2097" spans="1:39" ht="51.75" customHeight="1" x14ac:dyDescent="0.25">
      <c r="A2097" s="755"/>
      <c r="B2097" s="17"/>
      <c r="C2097" s="121"/>
      <c r="D2097" s="19"/>
      <c r="E2097" s="30">
        <v>2024</v>
      </c>
      <c r="F2097" s="251">
        <v>3000</v>
      </c>
      <c r="G2097" s="22">
        <v>3000</v>
      </c>
      <c r="H2097" s="22"/>
      <c r="I2097" s="22">
        <v>6000</v>
      </c>
      <c r="J2097" s="22">
        <v>6000</v>
      </c>
      <c r="K2097" s="22">
        <v>3000</v>
      </c>
      <c r="L2097" s="22"/>
      <c r="M2097" s="22">
        <v>9000</v>
      </c>
      <c r="N2097" s="22"/>
      <c r="O2097" s="22"/>
      <c r="P2097" s="22"/>
      <c r="Q2097" s="22"/>
      <c r="R2097" s="22"/>
      <c r="S2097" s="37">
        <f>SUM(G2097:R2097)</f>
        <v>27000</v>
      </c>
      <c r="T2097" s="22">
        <f>SUM(F2097*IF(E2097=_current_year,_current_month,12)-(S2097))</f>
        <v>9000</v>
      </c>
    </row>
    <row r="2098" spans="1:39" ht="51.75" customHeight="1" x14ac:dyDescent="0.25">
      <c r="A2098" s="755"/>
      <c r="B2098" s="17"/>
      <c r="C2098" s="121"/>
      <c r="D2098" s="19"/>
      <c r="E2098" s="30">
        <v>2023</v>
      </c>
      <c r="F2098" s="251">
        <v>3000</v>
      </c>
      <c r="G2098" s="22"/>
      <c r="H2098" s="22"/>
      <c r="I2098" s="22">
        <v>6000</v>
      </c>
      <c r="J2098" s="22"/>
      <c r="K2098" s="22"/>
      <c r="L2098" s="22">
        <v>6000</v>
      </c>
      <c r="M2098" s="22"/>
      <c r="N2098" s="22">
        <v>15000</v>
      </c>
      <c r="O2098" s="22"/>
      <c r="P2098" s="22"/>
      <c r="Q2098" s="22"/>
      <c r="R2098" s="22"/>
      <c r="S2098" s="37">
        <f>SUM(G2098:R2098)</f>
        <v>27000</v>
      </c>
      <c r="T2098" s="22">
        <f>SUM(F2098*IF(E2098=_current_year,_current_month,12)-(S2098))</f>
        <v>9000</v>
      </c>
    </row>
    <row r="2099" spans="1:39" s="220" customFormat="1" ht="48" customHeight="1" x14ac:dyDescent="0.4">
      <c r="A2099" s="755"/>
      <c r="B2099" s="33" t="s">
        <v>28</v>
      </c>
      <c r="C2099" s="122"/>
      <c r="D2099" s="35"/>
      <c r="E2099" s="30">
        <v>2022</v>
      </c>
      <c r="F2099" s="251">
        <v>3000</v>
      </c>
      <c r="G2099" s="36"/>
      <c r="H2099" s="36"/>
      <c r="I2099" s="36"/>
      <c r="J2099" s="36"/>
      <c r="K2099" s="36"/>
      <c r="L2099" s="36"/>
      <c r="M2099" s="36"/>
      <c r="N2099" s="36"/>
      <c r="O2099" s="36">
        <v>18000</v>
      </c>
      <c r="P2099" s="553"/>
      <c r="Q2099" s="36"/>
      <c r="R2099" s="36"/>
      <c r="S2099" s="37">
        <f>SUM(O2099:R2099)</f>
        <v>18000</v>
      </c>
      <c r="T2099" s="257">
        <f>SUM(6000-S2099)</f>
        <v>-12000</v>
      </c>
      <c r="AM2099" s="250"/>
    </row>
    <row r="2100" spans="1:39" s="220" customFormat="1" ht="51.75" customHeight="1" x14ac:dyDescent="0.4">
      <c r="A2100" s="755"/>
      <c r="B2100" s="33" t="s">
        <v>28</v>
      </c>
      <c r="C2100" s="38" t="s">
        <v>52</v>
      </c>
      <c r="D2100" s="124"/>
      <c r="E2100" s="748"/>
      <c r="F2100" s="749"/>
      <c r="G2100" s="749"/>
      <c r="H2100" s="749"/>
      <c r="I2100" s="749"/>
      <c r="J2100" s="749"/>
      <c r="K2100" s="749"/>
      <c r="L2100" s="749"/>
      <c r="M2100" s="749"/>
      <c r="N2100" s="749"/>
      <c r="O2100" s="749"/>
      <c r="P2100" s="749"/>
      <c r="Q2100" s="749"/>
      <c r="R2100" s="749"/>
      <c r="S2100" s="749"/>
      <c r="T2100" s="750"/>
      <c r="AM2100" s="250"/>
    </row>
    <row r="2101" spans="1:39" s="523" customFormat="1" ht="51.75" customHeight="1" x14ac:dyDescent="0.35">
      <c r="A2101" s="313" t="s">
        <v>445</v>
      </c>
      <c r="C2101" s="125"/>
      <c r="D2101" s="126"/>
      <c r="E2101" s="751"/>
      <c r="F2101" s="658"/>
      <c r="G2101" s="658"/>
      <c r="H2101" s="658"/>
      <c r="I2101" s="658"/>
      <c r="J2101" s="658"/>
      <c r="K2101" s="658"/>
      <c r="L2101" s="658"/>
      <c r="M2101" s="658"/>
      <c r="N2101" s="658"/>
      <c r="O2101" s="658"/>
      <c r="P2101" s="658"/>
      <c r="Q2101" s="658"/>
      <c r="R2101" s="658"/>
      <c r="S2101" s="658"/>
      <c r="T2101" s="752"/>
      <c r="AM2101" s="525"/>
    </row>
    <row r="2102" spans="1:39" s="523" customFormat="1" ht="51.75" customHeight="1" x14ac:dyDescent="0.35">
      <c r="A2102" s="313"/>
      <c r="C2102" s="125"/>
      <c r="D2102" s="126"/>
      <c r="E2102" s="756"/>
      <c r="F2102" s="757"/>
      <c r="G2102" s="757"/>
      <c r="H2102" s="757"/>
      <c r="I2102" s="757"/>
      <c r="J2102" s="757"/>
      <c r="K2102" s="757"/>
      <c r="L2102" s="757"/>
      <c r="M2102" s="757"/>
      <c r="N2102" s="757"/>
      <c r="O2102" s="757"/>
      <c r="P2102" s="757"/>
      <c r="Q2102" s="757"/>
      <c r="R2102" s="757"/>
      <c r="S2102" s="757"/>
      <c r="T2102" s="758"/>
      <c r="AM2102" s="525"/>
    </row>
    <row r="2103" spans="1:39" s="523" customFormat="1" ht="51.75" customHeight="1" thickBot="1" x14ac:dyDescent="0.45">
      <c r="A2103" s="253"/>
      <c r="C2103" s="658"/>
      <c r="D2103" s="659"/>
      <c r="E2103" s="526"/>
      <c r="F2103" s="265"/>
      <c r="G2103" s="489"/>
      <c r="H2103" s="489"/>
      <c r="I2103" s="489"/>
      <c r="J2103" s="489"/>
      <c r="K2103" s="489"/>
      <c r="L2103" s="489"/>
      <c r="M2103" s="489"/>
      <c r="N2103" s="489"/>
      <c r="O2103" s="489"/>
      <c r="P2103" s="489"/>
      <c r="Q2103" s="489"/>
      <c r="R2103" s="489"/>
      <c r="S2103" s="178">
        <f>SUM(S2096:S2102)</f>
        <v>111000</v>
      </c>
      <c r="T2103" s="87">
        <f>SUM(T2096:T2102)</f>
        <v>3000</v>
      </c>
      <c r="AM2103" s="525"/>
    </row>
    <row r="2104" spans="1:39" s="523" customFormat="1" ht="51.75" customHeight="1" x14ac:dyDescent="0.4">
      <c r="A2104" s="253"/>
      <c r="C2104" s="658"/>
      <c r="D2104" s="659"/>
      <c r="E2104" s="526"/>
      <c r="F2104" s="264"/>
      <c r="G2104" s="484"/>
      <c r="H2104" s="484"/>
      <c r="I2104" s="484"/>
      <c r="J2104" s="484"/>
      <c r="K2104" s="484"/>
      <c r="L2104" s="484"/>
      <c r="M2104" s="484"/>
      <c r="N2104" s="484"/>
      <c r="O2104" s="484"/>
      <c r="P2104" s="484"/>
      <c r="Q2104" s="484"/>
      <c r="R2104" s="484"/>
      <c r="S2104" s="517"/>
      <c r="T2104" s="517"/>
      <c r="AM2104" s="525"/>
    </row>
    <row r="2105" spans="1:39" s="374" customFormat="1" ht="51.75" customHeight="1" x14ac:dyDescent="0.4">
      <c r="A2105" s="241" t="s">
        <v>6</v>
      </c>
      <c r="B2105" s="368" t="s">
        <v>7</v>
      </c>
      <c r="C2105" s="369" t="s">
        <v>8</v>
      </c>
      <c r="D2105" s="518" t="s">
        <v>231</v>
      </c>
      <c r="E2105" s="371" t="s">
        <v>10</v>
      </c>
      <c r="F2105" s="372" t="s">
        <v>11</v>
      </c>
      <c r="G2105" s="476" t="s">
        <v>12</v>
      </c>
      <c r="H2105" s="476" t="s">
        <v>13</v>
      </c>
      <c r="I2105" s="476" t="s">
        <v>14</v>
      </c>
      <c r="J2105" s="476" t="s">
        <v>15</v>
      </c>
      <c r="K2105" s="476" t="s">
        <v>16</v>
      </c>
      <c r="L2105" s="476" t="s">
        <v>17</v>
      </c>
      <c r="M2105" s="476" t="s">
        <v>18</v>
      </c>
      <c r="N2105" s="476" t="s">
        <v>19</v>
      </c>
      <c r="O2105" s="476" t="s">
        <v>20</v>
      </c>
      <c r="P2105" s="476" t="s">
        <v>21</v>
      </c>
      <c r="Q2105" s="476" t="s">
        <v>22</v>
      </c>
      <c r="R2105" s="476" t="s">
        <v>23</v>
      </c>
      <c r="S2105" s="20" t="s">
        <v>24</v>
      </c>
      <c r="T2105" s="20" t="s">
        <v>25</v>
      </c>
      <c r="AM2105" s="375"/>
    </row>
    <row r="2106" spans="1:39" ht="51.75" customHeight="1" x14ac:dyDescent="0.25">
      <c r="A2106" s="679"/>
      <c r="B2106" s="17"/>
      <c r="C2106" s="654" t="s">
        <v>527</v>
      </c>
      <c r="D2106" s="19" t="str">
        <f>C2106</f>
        <v>IBUKUN GANIYAT ADEFOWOKAN</v>
      </c>
      <c r="E2106" s="26">
        <v>2025</v>
      </c>
      <c r="F2106" s="251">
        <v>5000</v>
      </c>
      <c r="G2106" s="22"/>
      <c r="H2106" s="22"/>
      <c r="I2106" s="22"/>
      <c r="J2106" s="22"/>
      <c r="K2106" s="22"/>
      <c r="L2106" s="22"/>
      <c r="M2106" s="22"/>
      <c r="N2106" s="22"/>
      <c r="O2106" s="759">
        <v>69000</v>
      </c>
      <c r="P2106" s="22"/>
      <c r="Q2106" s="22"/>
      <c r="R2106" s="22"/>
      <c r="S2106" s="64">
        <f>SUM(G2106:R2106)</f>
        <v>69000</v>
      </c>
      <c r="T2106" s="29">
        <f>SUM(F2106*IF(E2106=_current_year,_current_month,12)-(S2106))</f>
        <v>-9000</v>
      </c>
    </row>
    <row r="2107" spans="1:39" ht="51.75" customHeight="1" x14ac:dyDescent="0.25">
      <c r="A2107" s="754" t="s">
        <v>528</v>
      </c>
      <c r="B2107" s="17"/>
      <c r="C2107" s="656"/>
      <c r="D2107" s="19"/>
      <c r="E2107" s="30">
        <v>2024</v>
      </c>
      <c r="F2107" s="251">
        <v>3000</v>
      </c>
      <c r="G2107" s="22"/>
      <c r="H2107" s="22"/>
      <c r="I2107" s="22"/>
      <c r="J2107" s="22"/>
      <c r="K2107" s="22"/>
      <c r="L2107" s="22"/>
      <c r="M2107" s="22">
        <v>36000</v>
      </c>
      <c r="N2107" s="22"/>
      <c r="O2107" s="22"/>
      <c r="P2107" s="22"/>
      <c r="Q2107" s="22"/>
      <c r="R2107" s="22"/>
      <c r="S2107" s="37">
        <f>SUM(G2107:R2107)</f>
        <v>36000</v>
      </c>
      <c r="T2107" s="22">
        <f>SUM(F2107*IF(E2107=_current_year,_current_month,12)-(S2107))</f>
        <v>0</v>
      </c>
    </row>
    <row r="2108" spans="1:39" ht="51.75" customHeight="1" x14ac:dyDescent="0.25">
      <c r="A2108" s="755"/>
      <c r="B2108" s="17"/>
      <c r="C2108" s="657"/>
      <c r="D2108" s="19"/>
      <c r="E2108" s="30">
        <v>2023</v>
      </c>
      <c r="F2108" s="251">
        <v>3000</v>
      </c>
      <c r="G2108" s="22"/>
      <c r="H2108" s="22"/>
      <c r="I2108" s="22"/>
      <c r="J2108" s="22"/>
      <c r="K2108" s="22"/>
      <c r="L2108" s="22"/>
      <c r="M2108" s="22"/>
      <c r="N2108" s="22"/>
      <c r="O2108" s="22"/>
      <c r="P2108" s="22"/>
      <c r="Q2108" s="22"/>
      <c r="R2108" s="22"/>
      <c r="S2108" s="37">
        <f>SUM(G2108:R2108)</f>
        <v>0</v>
      </c>
      <c r="T2108" s="22">
        <f>SUM(F2108*IF(E2108=_current_year,_current_month,12)-(S2108))</f>
        <v>36000</v>
      </c>
    </row>
    <row r="2109" spans="1:39" s="220" customFormat="1" ht="49.15" customHeight="1" x14ac:dyDescent="0.4">
      <c r="A2109" s="755"/>
      <c r="B2109" s="33" t="s">
        <v>28</v>
      </c>
      <c r="C2109" s="34"/>
      <c r="D2109" s="35"/>
      <c r="E2109" s="30">
        <v>2022</v>
      </c>
      <c r="F2109" s="251">
        <v>3000</v>
      </c>
      <c r="G2109" s="36"/>
      <c r="H2109" s="36"/>
      <c r="I2109" s="36"/>
      <c r="J2109" s="36"/>
      <c r="K2109" s="36"/>
      <c r="L2109" s="36"/>
      <c r="M2109" s="36"/>
      <c r="N2109" s="36"/>
      <c r="O2109" s="36"/>
      <c r="P2109" s="760">
        <v>18000</v>
      </c>
      <c r="Q2109" s="36"/>
      <c r="R2109" s="36"/>
      <c r="S2109" s="37">
        <f>SUM(O2109:R2109)</f>
        <v>18000</v>
      </c>
      <c r="T2109" s="22">
        <f>SUM(F2109*2-(S2109))</f>
        <v>-12000</v>
      </c>
      <c r="AM2109" s="250"/>
    </row>
    <row r="2110" spans="1:39" s="220" customFormat="1" ht="51.75" customHeight="1" x14ac:dyDescent="0.4">
      <c r="A2110" s="755"/>
      <c r="B2110" s="33" t="s">
        <v>28</v>
      </c>
      <c r="C2110" s="38" t="s">
        <v>52</v>
      </c>
      <c r="D2110" s="124"/>
      <c r="E2110" s="111"/>
      <c r="F2110" s="92"/>
      <c r="G2110" s="92"/>
      <c r="H2110" s="92"/>
      <c r="I2110" s="92"/>
      <c r="J2110" s="92"/>
      <c r="K2110" s="92"/>
      <c r="L2110" s="92"/>
      <c r="M2110" s="92"/>
      <c r="N2110" s="92"/>
      <c r="O2110" s="92"/>
      <c r="P2110" s="92"/>
      <c r="Q2110" s="92"/>
      <c r="R2110" s="92"/>
      <c r="S2110" s="92"/>
      <c r="T2110" s="92"/>
      <c r="AM2110" s="250"/>
    </row>
    <row r="2111" spans="1:39" s="523" customFormat="1" ht="51.75" customHeight="1" x14ac:dyDescent="0.35">
      <c r="A2111" s="313" t="s">
        <v>445</v>
      </c>
      <c r="B2111" s="523" t="s">
        <v>28</v>
      </c>
      <c r="C2111" s="125"/>
      <c r="D2111" s="126"/>
      <c r="E2111" s="111"/>
      <c r="F2111" s="92"/>
      <c r="G2111" s="92"/>
      <c r="H2111" s="92"/>
      <c r="I2111" s="92"/>
      <c r="J2111" s="92"/>
      <c r="K2111" s="92"/>
      <c r="L2111" s="92"/>
      <c r="M2111" s="92"/>
      <c r="N2111" s="92"/>
      <c r="O2111" s="92"/>
      <c r="P2111" s="92"/>
      <c r="Q2111" s="92"/>
      <c r="R2111" s="92"/>
      <c r="S2111" s="92"/>
      <c r="T2111" s="92"/>
      <c r="AM2111" s="525"/>
    </row>
    <row r="2112" spans="1:39" s="523" customFormat="1" ht="51.75" customHeight="1" x14ac:dyDescent="0.35">
      <c r="A2112" s="313"/>
      <c r="C2112" s="125"/>
      <c r="D2112" s="126"/>
      <c r="E2112" s="111"/>
      <c r="F2112" s="92"/>
      <c r="G2112" s="92"/>
      <c r="H2112" s="92"/>
      <c r="I2112" s="92"/>
      <c r="J2112" s="92"/>
      <c r="K2112" s="92"/>
      <c r="L2112" s="92"/>
      <c r="M2112" s="92"/>
      <c r="N2112" s="92"/>
      <c r="O2112" s="92"/>
      <c r="P2112" s="92"/>
      <c r="Q2112" s="92"/>
      <c r="R2112" s="92"/>
      <c r="S2112" s="92"/>
      <c r="T2112" s="92"/>
      <c r="AM2112" s="525"/>
    </row>
    <row r="2113" spans="1:39" s="523" customFormat="1" ht="51.75" customHeight="1" thickBot="1" x14ac:dyDescent="0.45">
      <c r="A2113" s="253"/>
      <c r="C2113" s="658"/>
      <c r="D2113" s="659"/>
      <c r="E2113" s="526"/>
      <c r="F2113" s="264"/>
      <c r="G2113" s="489"/>
      <c r="H2113" s="489"/>
      <c r="I2113" s="489"/>
      <c r="J2113" s="489"/>
      <c r="K2113" s="489"/>
      <c r="L2113" s="489"/>
      <c r="M2113" s="489"/>
      <c r="N2113" s="489"/>
      <c r="O2113" s="489"/>
      <c r="P2113" s="489"/>
      <c r="Q2113" s="489"/>
      <c r="R2113" s="489"/>
      <c r="S2113" s="178">
        <f>SUM(S2106:S2112)</f>
        <v>123000</v>
      </c>
      <c r="T2113" s="87">
        <f>SUM(T2106:T2112)</f>
        <v>15000</v>
      </c>
      <c r="AM2113" s="525"/>
    </row>
    <row r="2114" spans="1:39" s="523" customFormat="1" ht="51.75" customHeight="1" x14ac:dyDescent="0.4">
      <c r="A2114" s="253"/>
      <c r="C2114" s="658"/>
      <c r="D2114" s="659"/>
      <c r="E2114" s="526"/>
      <c r="F2114" s="264"/>
      <c r="G2114" s="484"/>
      <c r="H2114" s="484"/>
      <c r="I2114" s="484"/>
      <c r="J2114" s="484"/>
      <c r="K2114" s="484"/>
      <c r="L2114" s="484"/>
      <c r="M2114" s="484"/>
      <c r="N2114" s="484"/>
      <c r="O2114" s="484"/>
      <c r="P2114" s="484"/>
      <c r="Q2114" s="484"/>
      <c r="R2114" s="484"/>
      <c r="S2114" s="286"/>
      <c r="T2114" s="286"/>
      <c r="AM2114" s="525"/>
    </row>
    <row r="2115" spans="1:39" s="374" customFormat="1" ht="51.75" customHeight="1" x14ac:dyDescent="0.4">
      <c r="A2115" s="241" t="s">
        <v>6</v>
      </c>
      <c r="B2115" s="368" t="s">
        <v>7</v>
      </c>
      <c r="C2115" s="369" t="s">
        <v>8</v>
      </c>
      <c r="D2115" s="518" t="s">
        <v>231</v>
      </c>
      <c r="E2115" s="371" t="s">
        <v>10</v>
      </c>
      <c r="F2115" s="372" t="s">
        <v>11</v>
      </c>
      <c r="G2115" s="476" t="s">
        <v>12</v>
      </c>
      <c r="H2115" s="476" t="s">
        <v>13</v>
      </c>
      <c r="I2115" s="476" t="s">
        <v>14</v>
      </c>
      <c r="J2115" s="476" t="s">
        <v>15</v>
      </c>
      <c r="K2115" s="476" t="s">
        <v>16</v>
      </c>
      <c r="L2115" s="476" t="s">
        <v>17</v>
      </c>
      <c r="M2115" s="476" t="s">
        <v>18</v>
      </c>
      <c r="N2115" s="476" t="s">
        <v>19</v>
      </c>
      <c r="O2115" s="476" t="s">
        <v>20</v>
      </c>
      <c r="P2115" s="476" t="s">
        <v>21</v>
      </c>
      <c r="Q2115" s="476" t="s">
        <v>22</v>
      </c>
      <c r="R2115" s="476" t="s">
        <v>23</v>
      </c>
      <c r="S2115" s="20" t="s">
        <v>24</v>
      </c>
      <c r="T2115" s="20" t="s">
        <v>25</v>
      </c>
      <c r="AM2115" s="375"/>
    </row>
    <row r="2116" spans="1:39" ht="51.75" customHeight="1" x14ac:dyDescent="0.25">
      <c r="A2116" s="724" t="s">
        <v>529</v>
      </c>
      <c r="B2116" s="17"/>
      <c r="C2116" s="761" t="s">
        <v>530</v>
      </c>
      <c r="D2116" s="19"/>
      <c r="E2116" s="26">
        <v>2025</v>
      </c>
      <c r="F2116" s="27">
        <v>10000</v>
      </c>
      <c r="G2116" s="22"/>
      <c r="H2116" s="22"/>
      <c r="I2116" s="22"/>
      <c r="J2116" s="22"/>
      <c r="K2116" s="22"/>
      <c r="L2116" s="22"/>
      <c r="M2116" s="22"/>
      <c r="N2116" s="22"/>
      <c r="O2116" s="22"/>
      <c r="P2116" s="22"/>
      <c r="Q2116" s="22"/>
      <c r="R2116" s="22"/>
      <c r="S2116" s="64">
        <f>SUM(L2116:R2116)</f>
        <v>0</v>
      </c>
      <c r="T2116" s="29">
        <v>0</v>
      </c>
    </row>
    <row r="2117" spans="1:39" ht="51.75" customHeight="1" x14ac:dyDescent="0.25">
      <c r="A2117" s="727"/>
      <c r="B2117" s="17"/>
      <c r="C2117" s="761"/>
      <c r="D2117" s="19"/>
      <c r="E2117" s="762" t="s">
        <v>531</v>
      </c>
      <c r="F2117" s="763"/>
      <c r="G2117" s="763"/>
      <c r="H2117" s="763"/>
      <c r="I2117" s="763"/>
      <c r="J2117" s="763"/>
      <c r="K2117" s="763"/>
      <c r="L2117" s="763"/>
      <c r="M2117" s="763"/>
      <c r="N2117" s="763"/>
      <c r="O2117" s="763"/>
      <c r="P2117" s="763"/>
      <c r="Q2117" s="763"/>
      <c r="R2117" s="764"/>
      <c r="S2117" s="37">
        <v>500000</v>
      </c>
      <c r="T2117" s="22">
        <f>500000-S2117</f>
        <v>0</v>
      </c>
    </row>
    <row r="2118" spans="1:39" s="220" customFormat="1" ht="48" customHeight="1" x14ac:dyDescent="0.4">
      <c r="A2118" s="727"/>
      <c r="B2118" s="33" t="s">
        <v>28</v>
      </c>
      <c r="C2118" s="142"/>
      <c r="D2118" s="35"/>
      <c r="E2118" s="90"/>
      <c r="F2118" s="91"/>
      <c r="G2118" s="91"/>
      <c r="H2118" s="91"/>
      <c r="I2118" s="91"/>
      <c r="J2118" s="91"/>
      <c r="K2118" s="90"/>
      <c r="L2118" s="91"/>
      <c r="M2118" s="91"/>
      <c r="N2118" s="91"/>
      <c r="O2118" s="91"/>
      <c r="P2118" s="91"/>
      <c r="Q2118" s="91"/>
      <c r="R2118" s="137"/>
      <c r="S2118" s="98"/>
      <c r="T2118" s="98"/>
      <c r="AM2118" s="250"/>
    </row>
    <row r="2119" spans="1:39" s="220" customFormat="1" ht="51.75" customHeight="1" x14ac:dyDescent="0.4">
      <c r="A2119" s="313" t="s">
        <v>445</v>
      </c>
      <c r="B2119" s="33" t="s">
        <v>28</v>
      </c>
      <c r="C2119" s="38" t="s">
        <v>52</v>
      </c>
      <c r="D2119" s="124"/>
      <c r="E2119" s="92"/>
      <c r="F2119" s="92"/>
      <c r="G2119" s="92"/>
      <c r="H2119" s="92"/>
      <c r="I2119" s="92"/>
      <c r="J2119" s="92"/>
      <c r="K2119" s="92"/>
      <c r="L2119" s="92"/>
      <c r="M2119" s="92"/>
      <c r="N2119" s="92"/>
      <c r="O2119" s="92"/>
      <c r="P2119" s="92"/>
      <c r="Q2119" s="92"/>
      <c r="R2119" s="112"/>
      <c r="S2119" s="507"/>
      <c r="T2119" s="507"/>
      <c r="AM2119" s="250"/>
    </row>
    <row r="2120" spans="1:39" s="523" customFormat="1" ht="51.75" customHeight="1" x14ac:dyDescent="0.35">
      <c r="A2120" s="313"/>
      <c r="B2120" s="523" t="s">
        <v>28</v>
      </c>
      <c r="C2120" s="125"/>
      <c r="D2120" s="126"/>
      <c r="E2120" s="92"/>
      <c r="F2120" s="92"/>
      <c r="G2120" s="92"/>
      <c r="H2120" s="92"/>
      <c r="I2120" s="92"/>
      <c r="J2120" s="92"/>
      <c r="K2120" s="92"/>
      <c r="L2120" s="92"/>
      <c r="M2120" s="92"/>
      <c r="N2120" s="92"/>
      <c r="O2120" s="92"/>
      <c r="P2120" s="92"/>
      <c r="Q2120" s="92"/>
      <c r="R2120" s="112"/>
      <c r="S2120" s="507"/>
      <c r="T2120" s="507"/>
      <c r="AM2120" s="525"/>
    </row>
    <row r="2121" spans="1:39" s="523" customFormat="1" ht="51.75" customHeight="1" x14ac:dyDescent="0.35">
      <c r="A2121" s="722"/>
      <c r="C2121" s="129"/>
      <c r="D2121" s="130"/>
      <c r="E2121" s="114"/>
      <c r="F2121" s="114"/>
      <c r="G2121" s="114"/>
      <c r="H2121" s="114"/>
      <c r="I2121" s="114"/>
      <c r="J2121" s="114"/>
      <c r="K2121" s="114"/>
      <c r="L2121" s="114"/>
      <c r="M2121" s="114"/>
      <c r="N2121" s="114"/>
      <c r="O2121" s="114"/>
      <c r="P2121" s="114"/>
      <c r="Q2121" s="114"/>
      <c r="R2121" s="115"/>
      <c r="S2121" s="511"/>
      <c r="T2121" s="511"/>
      <c r="AM2121" s="525"/>
    </row>
    <row r="2122" spans="1:39" s="523" customFormat="1" ht="51.75" customHeight="1" thickBot="1" x14ac:dyDescent="0.45">
      <c r="A2122" s="253"/>
      <c r="C2122" s="658"/>
      <c r="D2122" s="659"/>
      <c r="E2122" s="526"/>
      <c r="F2122" s="265"/>
      <c r="G2122" s="489"/>
      <c r="H2122" s="489"/>
      <c r="I2122" s="489"/>
      <c r="J2122" s="489"/>
      <c r="K2122" s="489"/>
      <c r="L2122" s="489"/>
      <c r="M2122" s="489"/>
      <c r="N2122" s="489"/>
      <c r="O2122" s="489"/>
      <c r="P2122" s="489"/>
      <c r="Q2122" s="489"/>
      <c r="R2122" s="489"/>
      <c r="S2122" s="178">
        <f>SUM(S2116:S2121)</f>
        <v>500000</v>
      </c>
      <c r="T2122" s="87">
        <f>SUM(T2116:T2121)</f>
        <v>0</v>
      </c>
      <c r="AM2122" s="525"/>
    </row>
    <row r="2123" spans="1:39" s="523" customFormat="1" ht="51.75" customHeight="1" x14ac:dyDescent="0.4">
      <c r="A2123" s="253"/>
      <c r="C2123" s="658"/>
      <c r="D2123" s="659"/>
      <c r="E2123" s="526"/>
      <c r="F2123" s="264"/>
      <c r="G2123" s="484"/>
      <c r="H2123" s="484"/>
      <c r="I2123" s="484"/>
      <c r="J2123" s="484"/>
      <c r="K2123" s="484"/>
      <c r="L2123" s="484"/>
      <c r="M2123" s="484"/>
      <c r="N2123" s="484"/>
      <c r="O2123" s="484"/>
      <c r="P2123" s="484"/>
      <c r="Q2123" s="484"/>
      <c r="R2123" s="484"/>
      <c r="S2123" s="286"/>
      <c r="T2123" s="286"/>
      <c r="AM2123" s="525"/>
    </row>
    <row r="2124" spans="1:39" s="523" customFormat="1" ht="51.75" customHeight="1" x14ac:dyDescent="0.4">
      <c r="A2124" s="253"/>
      <c r="C2124" s="658"/>
      <c r="D2124" s="659"/>
      <c r="E2124" s="526"/>
      <c r="F2124" s="264"/>
      <c r="G2124" s="484"/>
      <c r="H2124" s="484"/>
      <c r="I2124" s="484"/>
      <c r="J2124" s="484"/>
      <c r="K2124" s="484"/>
      <c r="L2124" s="484"/>
      <c r="M2124" s="484"/>
      <c r="N2124" s="484"/>
      <c r="O2124" s="484"/>
      <c r="P2124" s="484"/>
      <c r="Q2124" s="484"/>
      <c r="R2124" s="484"/>
      <c r="S2124" s="286"/>
      <c r="T2124" s="286"/>
      <c r="AM2124" s="525"/>
    </row>
    <row r="2125" spans="1:39" s="374" customFormat="1" ht="51.75" customHeight="1" x14ac:dyDescent="0.4">
      <c r="A2125" s="241" t="s">
        <v>6</v>
      </c>
      <c r="B2125" s="368" t="s">
        <v>7</v>
      </c>
      <c r="C2125" s="369" t="s">
        <v>8</v>
      </c>
      <c r="D2125" s="518" t="s">
        <v>231</v>
      </c>
      <c r="E2125" s="371" t="s">
        <v>10</v>
      </c>
      <c r="F2125" s="372" t="s">
        <v>11</v>
      </c>
      <c r="G2125" s="476" t="s">
        <v>12</v>
      </c>
      <c r="H2125" s="476" t="s">
        <v>13</v>
      </c>
      <c r="I2125" s="476" t="s">
        <v>14</v>
      </c>
      <c r="J2125" s="476" t="s">
        <v>15</v>
      </c>
      <c r="K2125" s="476" t="s">
        <v>16</v>
      </c>
      <c r="L2125" s="476" t="s">
        <v>17</v>
      </c>
      <c r="M2125" s="476" t="s">
        <v>18</v>
      </c>
      <c r="N2125" s="476" t="s">
        <v>19</v>
      </c>
      <c r="O2125" s="476" t="s">
        <v>20</v>
      </c>
      <c r="P2125" s="476" t="s">
        <v>21</v>
      </c>
      <c r="Q2125" s="476" t="s">
        <v>22</v>
      </c>
      <c r="R2125" s="476" t="s">
        <v>23</v>
      </c>
      <c r="S2125" s="20" t="s">
        <v>24</v>
      </c>
      <c r="T2125" s="20" t="s">
        <v>25</v>
      </c>
      <c r="AM2125" s="375"/>
    </row>
    <row r="2126" spans="1:39" ht="51.75" customHeight="1" x14ac:dyDescent="0.25">
      <c r="A2126" s="724" t="s">
        <v>532</v>
      </c>
      <c r="B2126" s="17"/>
      <c r="C2126" s="654" t="s">
        <v>530</v>
      </c>
      <c r="D2126" s="19"/>
      <c r="E2126" s="26">
        <v>2025</v>
      </c>
      <c r="F2126" s="27">
        <v>10000</v>
      </c>
      <c r="G2126" s="22"/>
      <c r="H2126" s="22"/>
      <c r="I2126" s="22"/>
      <c r="J2126" s="22"/>
      <c r="K2126" s="22"/>
      <c r="L2126" s="22"/>
      <c r="M2126" s="22"/>
      <c r="N2126" s="22"/>
      <c r="O2126" s="22"/>
      <c r="P2126" s="22"/>
      <c r="Q2126" s="22"/>
      <c r="R2126" s="22"/>
      <c r="S2126" s="64">
        <f>SUM(L2126:R2126)</f>
        <v>0</v>
      </c>
      <c r="T2126" s="29">
        <v>0</v>
      </c>
    </row>
    <row r="2127" spans="1:39" ht="51.75" customHeight="1" x14ac:dyDescent="0.25">
      <c r="A2127" s="727"/>
      <c r="B2127" s="17"/>
      <c r="C2127" s="656"/>
      <c r="D2127" s="19"/>
      <c r="E2127" s="762" t="s">
        <v>531</v>
      </c>
      <c r="F2127" s="763"/>
      <c r="G2127" s="763"/>
      <c r="H2127" s="763"/>
      <c r="I2127" s="763"/>
      <c r="J2127" s="763"/>
      <c r="K2127" s="763"/>
      <c r="L2127" s="763"/>
      <c r="M2127" s="763"/>
      <c r="N2127" s="763"/>
      <c r="O2127" s="763"/>
      <c r="P2127" s="763"/>
      <c r="Q2127" s="763"/>
      <c r="R2127" s="764"/>
      <c r="S2127" s="37"/>
      <c r="T2127" s="22">
        <f>500000-S2127</f>
        <v>500000</v>
      </c>
    </row>
    <row r="2128" spans="1:39" s="220" customFormat="1" ht="48" customHeight="1" x14ac:dyDescent="0.4">
      <c r="A2128" s="727"/>
      <c r="B2128" s="33" t="s">
        <v>28</v>
      </c>
      <c r="C2128" s="142"/>
      <c r="D2128" s="35"/>
      <c r="E2128" s="90"/>
      <c r="F2128" s="91"/>
      <c r="G2128" s="91"/>
      <c r="H2128" s="91"/>
      <c r="I2128" s="91"/>
      <c r="J2128" s="91"/>
      <c r="K2128" s="90"/>
      <c r="L2128" s="91"/>
      <c r="M2128" s="91"/>
      <c r="N2128" s="91"/>
      <c r="O2128" s="91"/>
      <c r="P2128" s="91"/>
      <c r="Q2128" s="91"/>
      <c r="R2128" s="137"/>
      <c r="S2128" s="98"/>
      <c r="T2128" s="98"/>
      <c r="AM2128" s="250"/>
    </row>
    <row r="2129" spans="1:39" s="220" customFormat="1" ht="51.75" customHeight="1" x14ac:dyDescent="0.4">
      <c r="A2129" s="313" t="s">
        <v>445</v>
      </c>
      <c r="B2129" s="33" t="s">
        <v>28</v>
      </c>
      <c r="C2129" s="38" t="s">
        <v>52</v>
      </c>
      <c r="D2129" s="124"/>
      <c r="E2129" s="92"/>
      <c r="F2129" s="92"/>
      <c r="G2129" s="92"/>
      <c r="H2129" s="92"/>
      <c r="I2129" s="92"/>
      <c r="J2129" s="92"/>
      <c r="K2129" s="92"/>
      <c r="L2129" s="92"/>
      <c r="M2129" s="92"/>
      <c r="N2129" s="92"/>
      <c r="O2129" s="92"/>
      <c r="P2129" s="92"/>
      <c r="Q2129" s="92"/>
      <c r="R2129" s="112"/>
      <c r="S2129" s="507"/>
      <c r="T2129" s="507"/>
      <c r="AM2129" s="250"/>
    </row>
    <row r="2130" spans="1:39" s="523" customFormat="1" ht="51.75" customHeight="1" x14ac:dyDescent="0.35">
      <c r="A2130" s="313"/>
      <c r="B2130" s="523" t="s">
        <v>28</v>
      </c>
      <c r="C2130" s="125"/>
      <c r="D2130" s="126"/>
      <c r="E2130" s="92"/>
      <c r="F2130" s="92"/>
      <c r="G2130" s="92"/>
      <c r="H2130" s="92"/>
      <c r="I2130" s="92"/>
      <c r="J2130" s="92"/>
      <c r="K2130" s="92"/>
      <c r="L2130" s="92"/>
      <c r="M2130" s="92"/>
      <c r="N2130" s="92"/>
      <c r="O2130" s="92"/>
      <c r="P2130" s="92"/>
      <c r="Q2130" s="92"/>
      <c r="R2130" s="112"/>
      <c r="S2130" s="507"/>
      <c r="T2130" s="507"/>
      <c r="AM2130" s="525"/>
    </row>
    <row r="2131" spans="1:39" s="523" customFormat="1" ht="51.75" customHeight="1" x14ac:dyDescent="0.35">
      <c r="A2131" s="722"/>
      <c r="C2131" s="129"/>
      <c r="D2131" s="130"/>
      <c r="E2131" s="114"/>
      <c r="F2131" s="114"/>
      <c r="G2131" s="114"/>
      <c r="H2131" s="114"/>
      <c r="I2131" s="114"/>
      <c r="J2131" s="114"/>
      <c r="K2131" s="114"/>
      <c r="L2131" s="114"/>
      <c r="M2131" s="114"/>
      <c r="N2131" s="114"/>
      <c r="O2131" s="114"/>
      <c r="P2131" s="114"/>
      <c r="Q2131" s="114"/>
      <c r="R2131" s="115"/>
      <c r="S2131" s="511"/>
      <c r="T2131" s="511"/>
      <c r="AM2131" s="525"/>
    </row>
    <row r="2132" spans="1:39" s="523" customFormat="1" ht="51.75" customHeight="1" thickBot="1" x14ac:dyDescent="0.45">
      <c r="A2132" s="253"/>
      <c r="C2132" s="658"/>
      <c r="D2132" s="659"/>
      <c r="E2132" s="526"/>
      <c r="F2132" s="265"/>
      <c r="G2132" s="489"/>
      <c r="H2132" s="489"/>
      <c r="I2132" s="489"/>
      <c r="J2132" s="489"/>
      <c r="K2132" s="489"/>
      <c r="L2132" s="489"/>
      <c r="M2132" s="489"/>
      <c r="N2132" s="489"/>
      <c r="O2132" s="489"/>
      <c r="P2132" s="489"/>
      <c r="Q2132" s="489"/>
      <c r="R2132" s="489"/>
      <c r="S2132" s="178">
        <f>SUM(S2126:S2131)</f>
        <v>0</v>
      </c>
      <c r="T2132" s="87">
        <f>SUM(T2126:T2131)</f>
        <v>500000</v>
      </c>
      <c r="AM2132" s="525"/>
    </row>
    <row r="2133" spans="1:39" s="523" customFormat="1" ht="51.75" customHeight="1" x14ac:dyDescent="0.4">
      <c r="A2133" s="253"/>
      <c r="C2133" s="658"/>
      <c r="D2133" s="659"/>
      <c r="E2133" s="526"/>
      <c r="F2133" s="264"/>
      <c r="G2133" s="484"/>
      <c r="H2133" s="484"/>
      <c r="I2133" s="484"/>
      <c r="J2133" s="484"/>
      <c r="K2133" s="484"/>
      <c r="L2133" s="484"/>
      <c r="M2133" s="484"/>
      <c r="N2133" s="484"/>
      <c r="O2133" s="484"/>
      <c r="P2133" s="484"/>
      <c r="Q2133" s="484"/>
      <c r="R2133" s="484"/>
      <c r="S2133" s="286"/>
      <c r="T2133" s="286"/>
      <c r="AM2133" s="525"/>
    </row>
    <row r="2134" spans="1:39" s="523" customFormat="1" ht="51.75" customHeight="1" x14ac:dyDescent="0.4">
      <c r="A2134" s="253"/>
      <c r="C2134" s="658"/>
      <c r="D2134" s="659"/>
      <c r="E2134" s="526"/>
      <c r="F2134" s="264"/>
      <c r="G2134" s="484"/>
      <c r="H2134" s="484"/>
      <c r="I2134" s="484"/>
      <c r="J2134" s="484"/>
      <c r="K2134" s="484"/>
      <c r="L2134" s="484"/>
      <c r="M2134" s="484"/>
      <c r="N2134" s="484"/>
      <c r="O2134" s="484"/>
      <c r="P2134" s="484"/>
      <c r="Q2134" s="484"/>
      <c r="R2134" s="484"/>
      <c r="S2134" s="286"/>
      <c r="T2134" s="286"/>
      <c r="AM2134" s="525"/>
    </row>
    <row r="2135" spans="1:39" s="523" customFormat="1" ht="51.6" customHeight="1" x14ac:dyDescent="0.4">
      <c r="A2135" s="253"/>
      <c r="C2135" s="658"/>
      <c r="D2135" s="659"/>
      <c r="E2135" s="526"/>
      <c r="F2135" s="264"/>
      <c r="G2135" s="484"/>
      <c r="H2135" s="484"/>
      <c r="I2135" s="484"/>
      <c r="J2135" s="484"/>
      <c r="K2135" s="484"/>
      <c r="L2135" s="484"/>
      <c r="M2135" s="484"/>
      <c r="N2135" s="484"/>
      <c r="O2135" s="484"/>
      <c r="P2135" s="484"/>
      <c r="Q2135" s="484"/>
      <c r="R2135" s="484"/>
      <c r="S2135" s="517"/>
      <c r="T2135" s="517"/>
      <c r="AM2135" s="525"/>
    </row>
    <row r="2136" spans="1:39" s="374" customFormat="1" ht="51.75" customHeight="1" x14ac:dyDescent="0.4">
      <c r="A2136" s="241" t="s">
        <v>6</v>
      </c>
      <c r="B2136" s="368" t="s">
        <v>7</v>
      </c>
      <c r="C2136" s="369" t="s">
        <v>8</v>
      </c>
      <c r="D2136" s="518" t="s">
        <v>231</v>
      </c>
      <c r="E2136" s="371" t="s">
        <v>10</v>
      </c>
      <c r="F2136" s="372" t="s">
        <v>11</v>
      </c>
      <c r="G2136" s="476" t="s">
        <v>12</v>
      </c>
      <c r="H2136" s="476" t="s">
        <v>13</v>
      </c>
      <c r="I2136" s="476" t="s">
        <v>14</v>
      </c>
      <c r="J2136" s="476" t="s">
        <v>15</v>
      </c>
      <c r="K2136" s="476" t="s">
        <v>16</v>
      </c>
      <c r="L2136" s="476" t="s">
        <v>17</v>
      </c>
      <c r="M2136" s="476" t="s">
        <v>18</v>
      </c>
      <c r="N2136" s="476" t="s">
        <v>19</v>
      </c>
      <c r="O2136" s="476" t="s">
        <v>20</v>
      </c>
      <c r="P2136" s="476" t="s">
        <v>21</v>
      </c>
      <c r="Q2136" s="476" t="s">
        <v>22</v>
      </c>
      <c r="R2136" s="476" t="s">
        <v>23</v>
      </c>
      <c r="S2136" s="20" t="s">
        <v>24</v>
      </c>
      <c r="T2136" s="20" t="s">
        <v>25</v>
      </c>
      <c r="AM2136" s="375"/>
    </row>
    <row r="2137" spans="1:39" ht="51.75" customHeight="1" x14ac:dyDescent="0.25">
      <c r="A2137" s="720" t="s">
        <v>533</v>
      </c>
      <c r="B2137" s="17"/>
      <c r="C2137" s="654" t="s">
        <v>534</v>
      </c>
      <c r="D2137" s="19"/>
      <c r="E2137" s="26">
        <v>2025</v>
      </c>
      <c r="F2137" s="27">
        <v>10000</v>
      </c>
      <c r="G2137" s="22"/>
      <c r="H2137" s="22"/>
      <c r="I2137" s="22"/>
      <c r="J2137" s="22"/>
      <c r="K2137" s="22"/>
      <c r="L2137" s="22"/>
      <c r="M2137" s="22"/>
      <c r="N2137" s="22"/>
      <c r="O2137" s="22"/>
      <c r="P2137" s="22"/>
      <c r="Q2137" s="22"/>
      <c r="R2137" s="22"/>
      <c r="S2137" s="64">
        <f>SUM(L2137:R2137)</f>
        <v>0</v>
      </c>
      <c r="T2137" s="29">
        <f>SUM(F2137*IF(E2137=_current_year,_current_month,12)-(S2137))</f>
        <v>120000</v>
      </c>
    </row>
    <row r="2138" spans="1:39" ht="51.75" customHeight="1" x14ac:dyDescent="0.25">
      <c r="A2138" s="721"/>
      <c r="B2138" s="17"/>
      <c r="C2138" s="656"/>
      <c r="D2138" s="19"/>
      <c r="E2138" s="30">
        <v>2024</v>
      </c>
      <c r="F2138" s="27">
        <v>5000</v>
      </c>
      <c r="G2138" s="22"/>
      <c r="H2138" s="22"/>
      <c r="I2138" s="22"/>
      <c r="J2138" s="22"/>
      <c r="K2138" s="22"/>
      <c r="L2138" s="22"/>
      <c r="M2138" s="22"/>
      <c r="N2138" s="22"/>
      <c r="O2138" s="22"/>
      <c r="P2138" s="22"/>
      <c r="Q2138" s="22"/>
      <c r="R2138" s="22"/>
      <c r="S2138" s="37">
        <f>SUM(L2138:R2138)</f>
        <v>0</v>
      </c>
      <c r="T2138" s="22">
        <f>SUM(F2138*IF(E2138=_current_year,_current_month,12)-(S2138))</f>
        <v>60000</v>
      </c>
    </row>
    <row r="2139" spans="1:39" ht="51.75" customHeight="1" x14ac:dyDescent="0.25">
      <c r="A2139" s="721"/>
      <c r="B2139" s="17"/>
      <c r="C2139" s="657"/>
      <c r="D2139" s="19"/>
      <c r="E2139" s="30">
        <v>2023</v>
      </c>
      <c r="F2139" s="27">
        <v>5000</v>
      </c>
      <c r="G2139" s="336"/>
      <c r="H2139" s="336"/>
      <c r="I2139" s="336"/>
      <c r="J2139" s="336"/>
      <c r="K2139" s="336"/>
      <c r="L2139" s="22">
        <v>240000</v>
      </c>
      <c r="M2139" s="22"/>
      <c r="N2139" s="22"/>
      <c r="O2139" s="22"/>
      <c r="P2139" s="22"/>
      <c r="Q2139" s="22"/>
      <c r="R2139" s="22"/>
      <c r="S2139" s="37">
        <f>SUM(L2139:R2139)</f>
        <v>240000</v>
      </c>
      <c r="T2139" s="22">
        <f>SUM(F2139*7)-(S2139)</f>
        <v>-205000</v>
      </c>
    </row>
    <row r="2140" spans="1:39" ht="51.75" customHeight="1" x14ac:dyDescent="0.25">
      <c r="A2140" s="721"/>
      <c r="B2140" s="17"/>
      <c r="C2140" s="765"/>
      <c r="D2140" s="19"/>
      <c r="E2140" s="762" t="s">
        <v>535</v>
      </c>
      <c r="F2140" s="763"/>
      <c r="G2140" s="763"/>
      <c r="H2140" s="763"/>
      <c r="I2140" s="763"/>
      <c r="J2140" s="763"/>
      <c r="K2140" s="763"/>
      <c r="L2140" s="763"/>
      <c r="M2140" s="763"/>
      <c r="N2140" s="763"/>
      <c r="O2140" s="763"/>
      <c r="P2140" s="763"/>
      <c r="Q2140" s="763"/>
      <c r="R2140" s="764"/>
      <c r="S2140" s="37">
        <v>260000</v>
      </c>
      <c r="T2140" s="22">
        <f>260000-S2140</f>
        <v>0</v>
      </c>
    </row>
    <row r="2141" spans="1:39" s="220" customFormat="1" ht="48" customHeight="1" x14ac:dyDescent="0.4">
      <c r="A2141" s="721"/>
      <c r="B2141" s="33" t="s">
        <v>28</v>
      </c>
      <c r="C2141" s="142" t="s">
        <v>536</v>
      </c>
      <c r="D2141" s="35"/>
      <c r="E2141" s="90"/>
      <c r="F2141" s="91"/>
      <c r="G2141" s="91"/>
      <c r="H2141" s="91"/>
      <c r="I2141" s="91"/>
      <c r="J2141" s="91"/>
      <c r="K2141" s="90" t="s">
        <v>537</v>
      </c>
      <c r="L2141" s="91"/>
      <c r="M2141" s="91"/>
      <c r="N2141" s="91"/>
      <c r="O2141" s="91"/>
      <c r="P2141" s="91"/>
      <c r="Q2141" s="91"/>
      <c r="R2141" s="137"/>
      <c r="S2141" s="98"/>
      <c r="T2141" s="98"/>
      <c r="AM2141" s="250"/>
    </row>
    <row r="2142" spans="1:39" s="220" customFormat="1" ht="51.75" customHeight="1" x14ac:dyDescent="0.4">
      <c r="A2142" s="313" t="s">
        <v>445</v>
      </c>
      <c r="B2142" s="33" t="s">
        <v>28</v>
      </c>
      <c r="C2142" s="38" t="s">
        <v>52</v>
      </c>
      <c r="D2142" s="124"/>
      <c r="E2142" s="92" t="s">
        <v>538</v>
      </c>
      <c r="F2142" s="92"/>
      <c r="G2142" s="92" t="s">
        <v>539</v>
      </c>
      <c r="H2142" s="92"/>
      <c r="I2142" s="92"/>
      <c r="J2142" s="92"/>
      <c r="K2142" s="92" t="s">
        <v>540</v>
      </c>
      <c r="L2142" s="92"/>
      <c r="M2142" s="92"/>
      <c r="N2142" s="92"/>
      <c r="O2142" s="92"/>
      <c r="P2142" s="92"/>
      <c r="Q2142" s="92"/>
      <c r="R2142" s="112"/>
      <c r="S2142" s="507"/>
      <c r="T2142" s="507"/>
      <c r="AM2142" s="250"/>
    </row>
    <row r="2143" spans="1:39" s="523" customFormat="1" ht="51.75" customHeight="1" x14ac:dyDescent="0.35">
      <c r="A2143" s="313"/>
      <c r="B2143" s="523" t="s">
        <v>28</v>
      </c>
      <c r="C2143" s="125"/>
      <c r="D2143" s="126"/>
      <c r="E2143" s="92"/>
      <c r="F2143" s="92"/>
      <c r="G2143" s="92" t="s">
        <v>541</v>
      </c>
      <c r="H2143" s="92"/>
      <c r="I2143" s="92"/>
      <c r="J2143" s="92"/>
      <c r="K2143" s="92" t="s">
        <v>542</v>
      </c>
      <c r="L2143" s="92"/>
      <c r="M2143" s="92"/>
      <c r="N2143" s="92"/>
      <c r="O2143" s="92"/>
      <c r="P2143" s="92"/>
      <c r="Q2143" s="92"/>
      <c r="R2143" s="112"/>
      <c r="S2143" s="507"/>
      <c r="T2143" s="507"/>
      <c r="AM2143" s="525"/>
    </row>
    <row r="2144" spans="1:39" s="523" customFormat="1" ht="51.75" customHeight="1" x14ac:dyDescent="0.35">
      <c r="A2144" s="722"/>
      <c r="C2144" s="129"/>
      <c r="D2144" s="130"/>
      <c r="E2144" s="114"/>
      <c r="F2144" s="114"/>
      <c r="G2144" s="114" t="s">
        <v>543</v>
      </c>
      <c r="H2144" s="114"/>
      <c r="I2144" s="114"/>
      <c r="J2144" s="114"/>
      <c r="K2144" s="114"/>
      <c r="L2144" s="114"/>
      <c r="M2144" s="114"/>
      <c r="N2144" s="114"/>
      <c r="O2144" s="114"/>
      <c r="P2144" s="114"/>
      <c r="Q2144" s="114"/>
      <c r="R2144" s="115"/>
      <c r="S2144" s="511"/>
      <c r="T2144" s="511"/>
      <c r="AM2144" s="525"/>
    </row>
    <row r="2145" spans="1:39" s="523" customFormat="1" ht="51.75" customHeight="1" thickBot="1" x14ac:dyDescent="0.45">
      <c r="A2145" s="253"/>
      <c r="C2145" s="658"/>
      <c r="D2145" s="659"/>
      <c r="E2145" s="526"/>
      <c r="F2145" s="265"/>
      <c r="G2145" s="489"/>
      <c r="H2145" s="489"/>
      <c r="I2145" s="489"/>
      <c r="J2145" s="489"/>
      <c r="K2145" s="489"/>
      <c r="L2145" s="489"/>
      <c r="M2145" s="489"/>
      <c r="N2145" s="489"/>
      <c r="O2145" s="489"/>
      <c r="P2145" s="489"/>
      <c r="Q2145" s="489"/>
      <c r="R2145" s="489"/>
      <c r="S2145" s="178">
        <f>SUM(S2137:S2144)</f>
        <v>500000</v>
      </c>
      <c r="T2145" s="87">
        <f>SUM(T2137:T2144)</f>
        <v>-25000</v>
      </c>
      <c r="AM2145" s="525"/>
    </row>
    <row r="2146" spans="1:39" s="523" customFormat="1" ht="51.75" customHeight="1" x14ac:dyDescent="0.4">
      <c r="A2146" s="253"/>
      <c r="C2146" s="658"/>
      <c r="D2146" s="659"/>
      <c r="E2146" s="526"/>
      <c r="F2146" s="264"/>
      <c r="G2146" s="484"/>
      <c r="H2146" s="484"/>
      <c r="I2146" s="484"/>
      <c r="J2146" s="484"/>
      <c r="K2146" s="484"/>
      <c r="L2146" s="484"/>
      <c r="M2146" s="484"/>
      <c r="N2146" s="484"/>
      <c r="O2146" s="484"/>
      <c r="P2146" s="484"/>
      <c r="Q2146" s="484"/>
      <c r="R2146" s="484"/>
      <c r="S2146" s="286"/>
      <c r="T2146" s="286"/>
      <c r="AM2146" s="525"/>
    </row>
    <row r="2147" spans="1:39" s="523" customFormat="1" ht="51.75" customHeight="1" x14ac:dyDescent="0.4">
      <c r="A2147" s="253"/>
      <c r="C2147" s="658"/>
      <c r="D2147" s="659"/>
      <c r="E2147" s="526"/>
      <c r="F2147" s="264"/>
      <c r="G2147" s="484"/>
      <c r="H2147" s="484"/>
      <c r="I2147" s="484"/>
      <c r="J2147" s="484"/>
      <c r="K2147" s="484"/>
      <c r="L2147" s="484"/>
      <c r="M2147" s="484"/>
      <c r="N2147" s="484"/>
      <c r="O2147" s="484"/>
      <c r="P2147" s="484"/>
      <c r="Q2147" s="484"/>
      <c r="R2147" s="484"/>
      <c r="S2147" s="286"/>
      <c r="T2147" s="286"/>
      <c r="AM2147" s="525"/>
    </row>
  </sheetData>
  <mergeCells count="883">
    <mergeCell ref="A2137:A2141"/>
    <mergeCell ref="C2137:C2139"/>
    <mergeCell ref="E2140:R2140"/>
    <mergeCell ref="S2141:S2144"/>
    <mergeCell ref="T2141:T2144"/>
    <mergeCell ref="A2142:A2143"/>
    <mergeCell ref="C2142:D2144"/>
    <mergeCell ref="A2126:A2128"/>
    <mergeCell ref="C2126:C2127"/>
    <mergeCell ref="E2127:R2127"/>
    <mergeCell ref="S2128:S2131"/>
    <mergeCell ref="T2128:T2131"/>
    <mergeCell ref="A2129:A2130"/>
    <mergeCell ref="C2129:D2131"/>
    <mergeCell ref="A2116:A2118"/>
    <mergeCell ref="E2117:R2117"/>
    <mergeCell ref="S2118:S2121"/>
    <mergeCell ref="T2118:T2121"/>
    <mergeCell ref="A2119:A2120"/>
    <mergeCell ref="C2119:D2121"/>
    <mergeCell ref="A2096:A2100"/>
    <mergeCell ref="C2096:C2099"/>
    <mergeCell ref="C2100:D2102"/>
    <mergeCell ref="A2101:A2102"/>
    <mergeCell ref="C2106:C2108"/>
    <mergeCell ref="A2107:A2110"/>
    <mergeCell ref="C2110:D2112"/>
    <mergeCell ref="A2111:A2112"/>
    <mergeCell ref="C2074:D2074"/>
    <mergeCell ref="A2078:A2081"/>
    <mergeCell ref="C2078:C2080"/>
    <mergeCell ref="A2082:A2083"/>
    <mergeCell ref="C2082:D2083"/>
    <mergeCell ref="A2087:A2089"/>
    <mergeCell ref="C2087:C2088"/>
    <mergeCell ref="C2089:D2091"/>
    <mergeCell ref="A2090:A2091"/>
    <mergeCell ref="C2056:D2056"/>
    <mergeCell ref="A2061:A2064"/>
    <mergeCell ref="C2061:C2063"/>
    <mergeCell ref="A2065:A2066"/>
    <mergeCell ref="C2065:D2066"/>
    <mergeCell ref="C2071:C2072"/>
    <mergeCell ref="A2072:A2073"/>
    <mergeCell ref="A2042:A2045"/>
    <mergeCell ref="C2042:C2044"/>
    <mergeCell ref="A2046:A2047"/>
    <mergeCell ref="C2046:D2049"/>
    <mergeCell ref="A2053:A2055"/>
    <mergeCell ref="C2053:C2054"/>
    <mergeCell ref="A2023:A2026"/>
    <mergeCell ref="C2023:C2025"/>
    <mergeCell ref="C2027:D2027"/>
    <mergeCell ref="A2031:A2034"/>
    <mergeCell ref="C2031:C2034"/>
    <mergeCell ref="E2034:T2037"/>
    <mergeCell ref="A2035:A2036"/>
    <mergeCell ref="C2035:D2038"/>
    <mergeCell ref="A2003:A2004"/>
    <mergeCell ref="C2003:D2009"/>
    <mergeCell ref="A2013:A2016"/>
    <mergeCell ref="C2013:C2015"/>
    <mergeCell ref="A2017:A2018"/>
    <mergeCell ref="C2017:D2019"/>
    <mergeCell ref="C1990:D1990"/>
    <mergeCell ref="A1994:A1995"/>
    <mergeCell ref="C1994:C1995"/>
    <mergeCell ref="E1995:T1995"/>
    <mergeCell ref="A1999:A2002"/>
    <mergeCell ref="C1999:C2002"/>
    <mergeCell ref="A1978:A1981"/>
    <mergeCell ref="E1979:T1983"/>
    <mergeCell ref="C1981:C1983"/>
    <mergeCell ref="A1982:A1983"/>
    <mergeCell ref="A1987:A1989"/>
    <mergeCell ref="C1987:C1988"/>
    <mergeCell ref="A1952:A1953"/>
    <mergeCell ref="C1952:D1958"/>
    <mergeCell ref="A1963:A1967"/>
    <mergeCell ref="C1963:C1965"/>
    <mergeCell ref="A1968:A1969"/>
    <mergeCell ref="C1968:D1974"/>
    <mergeCell ref="A1934:A1937"/>
    <mergeCell ref="C1934:C1935"/>
    <mergeCell ref="A1938:A1939"/>
    <mergeCell ref="C1938:D1944"/>
    <mergeCell ref="A1948:A1951"/>
    <mergeCell ref="C1948:C1949"/>
    <mergeCell ref="A1919:A1920"/>
    <mergeCell ref="C1919:D1920"/>
    <mergeCell ref="A1925:A1928"/>
    <mergeCell ref="C1925:C1928"/>
    <mergeCell ref="E1927:T1930"/>
    <mergeCell ref="A1929:A1931"/>
    <mergeCell ref="C1929:D1931"/>
    <mergeCell ref="A1905:A1908"/>
    <mergeCell ref="C1905:C1907"/>
    <mergeCell ref="A1909:A1910"/>
    <mergeCell ref="C1909:D1910"/>
    <mergeCell ref="A1915:A1918"/>
    <mergeCell ref="C1915:C1918"/>
    <mergeCell ref="A1891:A1892"/>
    <mergeCell ref="C1891:D1893"/>
    <mergeCell ref="A1896:A1899"/>
    <mergeCell ref="C1896:C1897"/>
    <mergeCell ref="A1900:A1901"/>
    <mergeCell ref="C1900:D1902"/>
    <mergeCell ref="A1872:A1875"/>
    <mergeCell ref="C1872:C1874"/>
    <mergeCell ref="A1876:A1877"/>
    <mergeCell ref="C1876:D1882"/>
    <mergeCell ref="A1887:A1890"/>
    <mergeCell ref="C1887:C1890"/>
    <mergeCell ref="A1853:A1854"/>
    <mergeCell ref="C1853:D1859"/>
    <mergeCell ref="A1863:A1866"/>
    <mergeCell ref="C1863:C1866"/>
    <mergeCell ref="A1867:A1868"/>
    <mergeCell ref="C1867:D1869"/>
    <mergeCell ref="A1831:A1834"/>
    <mergeCell ref="C1831:C1834"/>
    <mergeCell ref="A1835:A1836"/>
    <mergeCell ref="C1835:D1841"/>
    <mergeCell ref="A1849:A1852"/>
    <mergeCell ref="C1849:C1852"/>
    <mergeCell ref="E1810:T1812"/>
    <mergeCell ref="A1811:A1812"/>
    <mergeCell ref="A1817:A1820"/>
    <mergeCell ref="C1817:C1820"/>
    <mergeCell ref="A1821:A1822"/>
    <mergeCell ref="C1821:D1827"/>
    <mergeCell ref="A1825:A1826"/>
    <mergeCell ref="A1795:A1798"/>
    <mergeCell ref="A1799:A1800"/>
    <mergeCell ref="C1799:D1803"/>
    <mergeCell ref="A1807:A1810"/>
    <mergeCell ref="C1807:C1808"/>
    <mergeCell ref="C1810:D1812"/>
    <mergeCell ref="A1772:A1773"/>
    <mergeCell ref="C1772:D1775"/>
    <mergeCell ref="A1784:A1787"/>
    <mergeCell ref="A1788:A1789"/>
    <mergeCell ref="C1788:D1791"/>
    <mergeCell ref="E1789:T1791"/>
    <mergeCell ref="A1759:A1762"/>
    <mergeCell ref="C1759:C1761"/>
    <mergeCell ref="A1763:A1764"/>
    <mergeCell ref="C1763:D1764"/>
    <mergeCell ref="A1768:A1771"/>
    <mergeCell ref="C1768:C1770"/>
    <mergeCell ref="A1744:A1745"/>
    <mergeCell ref="C1744:D1746"/>
    <mergeCell ref="G1746:N1746"/>
    <mergeCell ref="C1750:C1751"/>
    <mergeCell ref="A1752:A1753"/>
    <mergeCell ref="E1752:T1755"/>
    <mergeCell ref="C1753:C1754"/>
    <mergeCell ref="A1754:A1755"/>
    <mergeCell ref="A1729:A1732"/>
    <mergeCell ref="C1729:C1732"/>
    <mergeCell ref="A1733:A1734"/>
    <mergeCell ref="C1733:D1737"/>
    <mergeCell ref="A1740:A1743"/>
    <mergeCell ref="C1740:C1742"/>
    <mergeCell ref="A1714:A1715"/>
    <mergeCell ref="C1714:D1716"/>
    <mergeCell ref="A1719:A1722"/>
    <mergeCell ref="C1719:C1721"/>
    <mergeCell ref="A1723:A1724"/>
    <mergeCell ref="C1723:D1725"/>
    <mergeCell ref="A1695:A1696"/>
    <mergeCell ref="C1695:D1701"/>
    <mergeCell ref="K1704:S1705"/>
    <mergeCell ref="A1708:R1708"/>
    <mergeCell ref="S1708:T1708"/>
    <mergeCell ref="A1710:A1713"/>
    <mergeCell ref="C1710:C1712"/>
    <mergeCell ref="A1676:A1677"/>
    <mergeCell ref="C1676:D1677"/>
    <mergeCell ref="A1681:A1684"/>
    <mergeCell ref="C1681:C1683"/>
    <mergeCell ref="C1685:D1688"/>
    <mergeCell ref="C1691:C1694"/>
    <mergeCell ref="A1692:A1694"/>
    <mergeCell ref="A1662:A1665"/>
    <mergeCell ref="C1662:C1664"/>
    <mergeCell ref="A1666:A1667"/>
    <mergeCell ref="C1666:D1668"/>
    <mergeCell ref="A1672:A1675"/>
    <mergeCell ref="C1672:C1674"/>
    <mergeCell ref="A1648:A1649"/>
    <mergeCell ref="C1648:D1649"/>
    <mergeCell ref="A1653:A1656"/>
    <mergeCell ref="C1653:C1656"/>
    <mergeCell ref="A1657:A1658"/>
    <mergeCell ref="C1657:D1659"/>
    <mergeCell ref="A1634:A1637"/>
    <mergeCell ref="C1634:C1636"/>
    <mergeCell ref="E1636:T1640"/>
    <mergeCell ref="A1638:A1639"/>
    <mergeCell ref="C1638:D1641"/>
    <mergeCell ref="A1644:A1647"/>
    <mergeCell ref="C1644:C1646"/>
    <mergeCell ref="A1618:A1619"/>
    <mergeCell ref="C1618:D1620"/>
    <mergeCell ref="A1624:A1627"/>
    <mergeCell ref="C1624:C1626"/>
    <mergeCell ref="A1628:A1629"/>
    <mergeCell ref="C1628:D1631"/>
    <mergeCell ref="A1605:A1608"/>
    <mergeCell ref="C1605:C1606"/>
    <mergeCell ref="G1608:T1609"/>
    <mergeCell ref="A1609:A1610"/>
    <mergeCell ref="C1609:D1610"/>
    <mergeCell ref="A1614:A1617"/>
    <mergeCell ref="C1614:C1616"/>
    <mergeCell ref="A1583:A1585"/>
    <mergeCell ref="C1583:C1585"/>
    <mergeCell ref="A1586:A1587"/>
    <mergeCell ref="C1586:C1587"/>
    <mergeCell ref="C1591:C1592"/>
    <mergeCell ref="A1592:A1595"/>
    <mergeCell ref="C1595:D1601"/>
    <mergeCell ref="A1596:A1597"/>
    <mergeCell ref="E1557:T1558"/>
    <mergeCell ref="A1562:A1566"/>
    <mergeCell ref="C1562:C1565"/>
    <mergeCell ref="C1566:D1568"/>
    <mergeCell ref="A1567:A1568"/>
    <mergeCell ref="A1572:A1576"/>
    <mergeCell ref="C1572:C1574"/>
    <mergeCell ref="C1576:D1578"/>
    <mergeCell ref="A1577:A1578"/>
    <mergeCell ref="E1578:T1578"/>
    <mergeCell ref="A1542:A1546"/>
    <mergeCell ref="C1542:C1545"/>
    <mergeCell ref="C1546:D1548"/>
    <mergeCell ref="A1547:A1548"/>
    <mergeCell ref="A1552:A1556"/>
    <mergeCell ref="C1552:C1554"/>
    <mergeCell ref="C1556:D1558"/>
    <mergeCell ref="A1557:A1558"/>
    <mergeCell ref="A1523:A1525"/>
    <mergeCell ref="C1523:C1525"/>
    <mergeCell ref="A1526:A1527"/>
    <mergeCell ref="C1527:C1528"/>
    <mergeCell ref="A1532:A1536"/>
    <mergeCell ref="C1532:C1534"/>
    <mergeCell ref="C1536:D1538"/>
    <mergeCell ref="A1537:A1538"/>
    <mergeCell ref="E1510:T1510"/>
    <mergeCell ref="A1514:A1517"/>
    <mergeCell ref="C1514:C1516"/>
    <mergeCell ref="E1517:T1519"/>
    <mergeCell ref="A1518:A1519"/>
    <mergeCell ref="C1518:D1519"/>
    <mergeCell ref="A1496:A1500"/>
    <mergeCell ref="C1496:C1498"/>
    <mergeCell ref="C1500:D1502"/>
    <mergeCell ref="A1501:A1502"/>
    <mergeCell ref="A1506:A1508"/>
    <mergeCell ref="C1506:C1507"/>
    <mergeCell ref="C1508:D1510"/>
    <mergeCell ref="A1509:A1510"/>
    <mergeCell ref="A1476:A1479"/>
    <mergeCell ref="A1480:A1481"/>
    <mergeCell ref="C1480:D1482"/>
    <mergeCell ref="A1485:A1489"/>
    <mergeCell ref="C1485:C1486"/>
    <mergeCell ref="C1489:D1493"/>
    <mergeCell ref="A1490:A1491"/>
    <mergeCell ref="A1450:A1451"/>
    <mergeCell ref="C1450:D1456"/>
    <mergeCell ref="A1462:A1465"/>
    <mergeCell ref="C1462:C1465"/>
    <mergeCell ref="A1466:A1467"/>
    <mergeCell ref="C1466:D1472"/>
    <mergeCell ref="C1437:C1438"/>
    <mergeCell ref="A1438:A1440"/>
    <mergeCell ref="E1440:T1442"/>
    <mergeCell ref="A1441:A1442"/>
    <mergeCell ref="C1441:C1442"/>
    <mergeCell ref="A1446:A1449"/>
    <mergeCell ref="C1446:C1448"/>
    <mergeCell ref="G1423:M1423"/>
    <mergeCell ref="C1427:C1428"/>
    <mergeCell ref="A1428:A1430"/>
    <mergeCell ref="E1430:T1432"/>
    <mergeCell ref="A1431:A1432"/>
    <mergeCell ref="C1431:C1432"/>
    <mergeCell ref="A1406:A1407"/>
    <mergeCell ref="C1406:D1412"/>
    <mergeCell ref="C1416:C1419"/>
    <mergeCell ref="A1417:A1419"/>
    <mergeCell ref="A1420:A1421"/>
    <mergeCell ref="C1420:D1423"/>
    <mergeCell ref="A1391:A1394"/>
    <mergeCell ref="C1391:C1394"/>
    <mergeCell ref="A1395:A1396"/>
    <mergeCell ref="C1395:D1398"/>
    <mergeCell ref="A1402:A1405"/>
    <mergeCell ref="C1402:C1405"/>
    <mergeCell ref="A1375:A1376"/>
    <mergeCell ref="C1375:D1378"/>
    <mergeCell ref="A1382:A1384"/>
    <mergeCell ref="C1382:C1384"/>
    <mergeCell ref="E1384:T1387"/>
    <mergeCell ref="A1385:A1387"/>
    <mergeCell ref="C1385:C1387"/>
    <mergeCell ref="A1359:A1362"/>
    <mergeCell ref="C1359:C1361"/>
    <mergeCell ref="A1363:A1364"/>
    <mergeCell ref="C1363:D1366"/>
    <mergeCell ref="A1371:A1374"/>
    <mergeCell ref="C1371:C1373"/>
    <mergeCell ref="A1341:A1342"/>
    <mergeCell ref="C1341:D1345"/>
    <mergeCell ref="A1349:A1352"/>
    <mergeCell ref="C1349:C1351"/>
    <mergeCell ref="A1353:A1354"/>
    <mergeCell ref="C1353:D1356"/>
    <mergeCell ref="A1322:A1325"/>
    <mergeCell ref="C1322:C1323"/>
    <mergeCell ref="C1324:D1332"/>
    <mergeCell ref="A1326:A1327"/>
    <mergeCell ref="A1337:A1340"/>
    <mergeCell ref="C1337:C1339"/>
    <mergeCell ref="A1302:A1303"/>
    <mergeCell ref="C1302:D1304"/>
    <mergeCell ref="A1308:A1311"/>
    <mergeCell ref="C1308:C1311"/>
    <mergeCell ref="A1312:A1313"/>
    <mergeCell ref="C1312:D1318"/>
    <mergeCell ref="A1290:A1293"/>
    <mergeCell ref="C1290:C1291"/>
    <mergeCell ref="E1291:T1293"/>
    <mergeCell ref="C1293:C1294"/>
    <mergeCell ref="A1298:A1301"/>
    <mergeCell ref="C1298:C1300"/>
    <mergeCell ref="A1271:A1272"/>
    <mergeCell ref="C1271:D1273"/>
    <mergeCell ref="A1277:A1280"/>
    <mergeCell ref="C1277:C1280"/>
    <mergeCell ref="A1281:A1282"/>
    <mergeCell ref="C1281:D1284"/>
    <mergeCell ref="E1260:R1262"/>
    <mergeCell ref="S1260:S1262"/>
    <mergeCell ref="T1260:T1262"/>
    <mergeCell ref="A1261:A1262"/>
    <mergeCell ref="A1267:A1270"/>
    <mergeCell ref="C1267:C1269"/>
    <mergeCell ref="A1246:A1249"/>
    <mergeCell ref="C1246:C1248"/>
    <mergeCell ref="A1250:A1251"/>
    <mergeCell ref="C1250:D1253"/>
    <mergeCell ref="A1257:A1260"/>
    <mergeCell ref="C1257:C1258"/>
    <mergeCell ref="C1260:D1263"/>
    <mergeCell ref="A1235:R1235"/>
    <mergeCell ref="S1235:T1235"/>
    <mergeCell ref="A1237:A1240"/>
    <mergeCell ref="C1237:C1239"/>
    <mergeCell ref="E1240:R1242"/>
    <mergeCell ref="S1240:S1242"/>
    <mergeCell ref="T1240:T1242"/>
    <mergeCell ref="A1241:A1242"/>
    <mergeCell ref="C1241:D1242"/>
    <mergeCell ref="A1224:A1228"/>
    <mergeCell ref="C1224:C1227"/>
    <mergeCell ref="E1226:R1226"/>
    <mergeCell ref="E1227:T1231"/>
    <mergeCell ref="A1229:A1230"/>
    <mergeCell ref="C1229:D1231"/>
    <mergeCell ref="S1211:T1211"/>
    <mergeCell ref="A1213:A1216"/>
    <mergeCell ref="C1213:C1215"/>
    <mergeCell ref="A1217:A1218"/>
    <mergeCell ref="C1217:D1219"/>
    <mergeCell ref="A1222:R1222"/>
    <mergeCell ref="S1222:T1222"/>
    <mergeCell ref="A1191:A1194"/>
    <mergeCell ref="C1191:C1192"/>
    <mergeCell ref="A1195:A1196"/>
    <mergeCell ref="C1195:D1198"/>
    <mergeCell ref="K1210:Q1210"/>
    <mergeCell ref="A1211:R1211"/>
    <mergeCell ref="A1170:A1171"/>
    <mergeCell ref="C1170:D1172"/>
    <mergeCell ref="A1176:A1179"/>
    <mergeCell ref="C1176:C1178"/>
    <mergeCell ref="A1180:A1181"/>
    <mergeCell ref="C1180:D1186"/>
    <mergeCell ref="C1155:C1156"/>
    <mergeCell ref="A1156:A1158"/>
    <mergeCell ref="A1159:A1160"/>
    <mergeCell ref="C1159:D1162"/>
    <mergeCell ref="A1166:A1169"/>
    <mergeCell ref="C1166:C1167"/>
    <mergeCell ref="A1130:A1131"/>
    <mergeCell ref="C1130:D1136"/>
    <mergeCell ref="A1141:A1144"/>
    <mergeCell ref="C1141:C1142"/>
    <mergeCell ref="A1145:A1146"/>
    <mergeCell ref="C1145:D1151"/>
    <mergeCell ref="A1112:A1115"/>
    <mergeCell ref="C1112:C1113"/>
    <mergeCell ref="A1116:A1117"/>
    <mergeCell ref="C1116:D1122"/>
    <mergeCell ref="A1126:A1129"/>
    <mergeCell ref="C1126:C1128"/>
    <mergeCell ref="A1093:A1096"/>
    <mergeCell ref="C1093:C1094"/>
    <mergeCell ref="A1097:A1098"/>
    <mergeCell ref="C1097:D1099"/>
    <mergeCell ref="A1102:A1106"/>
    <mergeCell ref="C1102:C1103"/>
    <mergeCell ref="C1106:D1109"/>
    <mergeCell ref="A1107:A1108"/>
    <mergeCell ref="A1077:A1078"/>
    <mergeCell ref="C1077:D1078"/>
    <mergeCell ref="A1082:A1086"/>
    <mergeCell ref="C1082:C1083"/>
    <mergeCell ref="E1083:T1088"/>
    <mergeCell ref="C1084:C1086"/>
    <mergeCell ref="A1087:A1088"/>
    <mergeCell ref="A1062:A1065"/>
    <mergeCell ref="C1062:C1064"/>
    <mergeCell ref="A1066:A1067"/>
    <mergeCell ref="C1066:D1069"/>
    <mergeCell ref="A1073:A1076"/>
    <mergeCell ref="C1073:C1074"/>
    <mergeCell ref="A1041:A1042"/>
    <mergeCell ref="A1043:A1044"/>
    <mergeCell ref="C1043:D1045"/>
    <mergeCell ref="A1050:A1052"/>
    <mergeCell ref="A1053:A1054"/>
    <mergeCell ref="C1053:D1059"/>
    <mergeCell ref="F1023:F1026"/>
    <mergeCell ref="C1024:D1026"/>
    <mergeCell ref="A1025:A1026"/>
    <mergeCell ref="A1030:A1034"/>
    <mergeCell ref="C1030:C1031"/>
    <mergeCell ref="G1031:R1031"/>
    <mergeCell ref="E1032:T1037"/>
    <mergeCell ref="C1034:D1037"/>
    <mergeCell ref="A1035:A1036"/>
    <mergeCell ref="A1010:A1014"/>
    <mergeCell ref="C1014:D1016"/>
    <mergeCell ref="A1015:A1016"/>
    <mergeCell ref="A1020:A1024"/>
    <mergeCell ref="C1020:C1021"/>
    <mergeCell ref="E1023:E1026"/>
    <mergeCell ref="A986:A987"/>
    <mergeCell ref="C986:D992"/>
    <mergeCell ref="A996:A1000"/>
    <mergeCell ref="G997:R1006"/>
    <mergeCell ref="C1000:D1006"/>
    <mergeCell ref="A1001:A1002"/>
    <mergeCell ref="A972:A975"/>
    <mergeCell ref="C972:C974"/>
    <mergeCell ref="A976:A977"/>
    <mergeCell ref="C976:D979"/>
    <mergeCell ref="C982:C984"/>
    <mergeCell ref="A983:A985"/>
    <mergeCell ref="A962:A966"/>
    <mergeCell ref="C962:C964"/>
    <mergeCell ref="G963:R963"/>
    <mergeCell ref="G964:T968"/>
    <mergeCell ref="C966:D968"/>
    <mergeCell ref="A967:A968"/>
    <mergeCell ref="A941:A945"/>
    <mergeCell ref="C941:C943"/>
    <mergeCell ref="C945:D948"/>
    <mergeCell ref="A946:A947"/>
    <mergeCell ref="A952:A956"/>
    <mergeCell ref="C952:C954"/>
    <mergeCell ref="C956:D958"/>
    <mergeCell ref="A957:A958"/>
    <mergeCell ref="A932:A935"/>
    <mergeCell ref="C932:C934"/>
    <mergeCell ref="A936:A937"/>
    <mergeCell ref="C936:D937"/>
    <mergeCell ref="K936:L936"/>
    <mergeCell ref="K937:L937"/>
    <mergeCell ref="A917:A918"/>
    <mergeCell ref="A923:A926"/>
    <mergeCell ref="C923:C925"/>
    <mergeCell ref="E925:T928"/>
    <mergeCell ref="C926:D928"/>
    <mergeCell ref="A927:A928"/>
    <mergeCell ref="A901:A904"/>
    <mergeCell ref="C901:C903"/>
    <mergeCell ref="E902:T906"/>
    <mergeCell ref="A905:A906"/>
    <mergeCell ref="C905:D906"/>
    <mergeCell ref="A912:A916"/>
    <mergeCell ref="C912:C915"/>
    <mergeCell ref="G914:R914"/>
    <mergeCell ref="E915:T918"/>
    <mergeCell ref="C916:D918"/>
    <mergeCell ref="A891:A895"/>
    <mergeCell ref="C891:C894"/>
    <mergeCell ref="G893:R893"/>
    <mergeCell ref="G894:T897"/>
    <mergeCell ref="A896:A897"/>
    <mergeCell ref="C896:D897"/>
    <mergeCell ref="A881:A884"/>
    <mergeCell ref="C881:C883"/>
    <mergeCell ref="G882:R882"/>
    <mergeCell ref="E883:T886"/>
    <mergeCell ref="A885:A886"/>
    <mergeCell ref="C885:D886"/>
    <mergeCell ref="A863:A865"/>
    <mergeCell ref="C863:C865"/>
    <mergeCell ref="G864:T867"/>
    <mergeCell ref="A866:A867"/>
    <mergeCell ref="C866:D867"/>
    <mergeCell ref="A872:A875"/>
    <mergeCell ref="C872:C874"/>
    <mergeCell ref="G874:T877"/>
    <mergeCell ref="A876:A877"/>
    <mergeCell ref="C876:D877"/>
    <mergeCell ref="A842:A846"/>
    <mergeCell ref="C842:C844"/>
    <mergeCell ref="C846:D849"/>
    <mergeCell ref="A847:A848"/>
    <mergeCell ref="A852:A856"/>
    <mergeCell ref="C852:C854"/>
    <mergeCell ref="C856:D858"/>
    <mergeCell ref="A857:A858"/>
    <mergeCell ref="A819:A822"/>
    <mergeCell ref="C819:C821"/>
    <mergeCell ref="C822:D825"/>
    <mergeCell ref="A823:A824"/>
    <mergeCell ref="G823:L823"/>
    <mergeCell ref="A828:A832"/>
    <mergeCell ref="C830:D838"/>
    <mergeCell ref="A833:A834"/>
    <mergeCell ref="A801:A804"/>
    <mergeCell ref="C801:C802"/>
    <mergeCell ref="E803:T806"/>
    <mergeCell ref="A805:A806"/>
    <mergeCell ref="C805:D807"/>
    <mergeCell ref="A810:A813"/>
    <mergeCell ref="C810:C811"/>
    <mergeCell ref="E812:T815"/>
    <mergeCell ref="A814:A815"/>
    <mergeCell ref="C814:D816"/>
    <mergeCell ref="A780:A784"/>
    <mergeCell ref="C780:C783"/>
    <mergeCell ref="E781:T788"/>
    <mergeCell ref="C784:D788"/>
    <mergeCell ref="A785:A786"/>
    <mergeCell ref="A792:A795"/>
    <mergeCell ref="G793:R793"/>
    <mergeCell ref="E794:T797"/>
    <mergeCell ref="A796:A797"/>
    <mergeCell ref="C796:D798"/>
    <mergeCell ref="A747:A748"/>
    <mergeCell ref="C747:D750"/>
    <mergeCell ref="A754:A757"/>
    <mergeCell ref="C758:C761"/>
    <mergeCell ref="A759:A760"/>
    <mergeCell ref="A766:A770"/>
    <mergeCell ref="C770:D776"/>
    <mergeCell ref="A771:A772"/>
    <mergeCell ref="C727:D728"/>
    <mergeCell ref="A733:A735"/>
    <mergeCell ref="C733:C734"/>
    <mergeCell ref="A736:A737"/>
    <mergeCell ref="C736:D739"/>
    <mergeCell ref="A743:A746"/>
    <mergeCell ref="C743:C745"/>
    <mergeCell ref="C711:R711"/>
    <mergeCell ref="A714:A717"/>
    <mergeCell ref="C714:C717"/>
    <mergeCell ref="A718:A719"/>
    <mergeCell ref="C718:D719"/>
    <mergeCell ref="A723:A726"/>
    <mergeCell ref="C723:C726"/>
    <mergeCell ref="E724:R724"/>
    <mergeCell ref="E725:T728"/>
    <mergeCell ref="A727:A728"/>
    <mergeCell ref="C698:D700"/>
    <mergeCell ref="A699:A700"/>
    <mergeCell ref="A704:A707"/>
    <mergeCell ref="C704:C706"/>
    <mergeCell ref="A708:A709"/>
    <mergeCell ref="C708:D710"/>
    <mergeCell ref="G687:R687"/>
    <mergeCell ref="E688:T688"/>
    <mergeCell ref="C689:D691"/>
    <mergeCell ref="E689:R691"/>
    <mergeCell ref="A690:A691"/>
    <mergeCell ref="A695:A697"/>
    <mergeCell ref="A675:A678"/>
    <mergeCell ref="C675:C676"/>
    <mergeCell ref="C679:D681"/>
    <mergeCell ref="A680:A681"/>
    <mergeCell ref="A686:A688"/>
    <mergeCell ref="C686:C687"/>
    <mergeCell ref="A660:A661"/>
    <mergeCell ref="C660:D661"/>
    <mergeCell ref="A665:A668"/>
    <mergeCell ref="C665:C668"/>
    <mergeCell ref="C669:D671"/>
    <mergeCell ref="A670:A671"/>
    <mergeCell ref="A646:A647"/>
    <mergeCell ref="A648:A649"/>
    <mergeCell ref="C648:D649"/>
    <mergeCell ref="A656:A659"/>
    <mergeCell ref="C656:C658"/>
    <mergeCell ref="G659:J659"/>
    <mergeCell ref="K627:Q628"/>
    <mergeCell ref="A629:R629"/>
    <mergeCell ref="S629:T629"/>
    <mergeCell ref="C632:C633"/>
    <mergeCell ref="A633:A637"/>
    <mergeCell ref="C635:D642"/>
    <mergeCell ref="A638:A639"/>
    <mergeCell ref="A617:A619"/>
    <mergeCell ref="E619:R622"/>
    <mergeCell ref="S619:S622"/>
    <mergeCell ref="T619:T622"/>
    <mergeCell ref="C620:D622"/>
    <mergeCell ref="A621:A622"/>
    <mergeCell ref="A608:A610"/>
    <mergeCell ref="E610:R613"/>
    <mergeCell ref="S610:S613"/>
    <mergeCell ref="T610:T613"/>
    <mergeCell ref="C611:D613"/>
    <mergeCell ref="A612:A613"/>
    <mergeCell ref="A599:A601"/>
    <mergeCell ref="E601:R604"/>
    <mergeCell ref="S601:S604"/>
    <mergeCell ref="T601:T604"/>
    <mergeCell ref="C602:D604"/>
    <mergeCell ref="A603:A604"/>
    <mergeCell ref="A590:A592"/>
    <mergeCell ref="E592:R595"/>
    <mergeCell ref="S592:S595"/>
    <mergeCell ref="T592:T595"/>
    <mergeCell ref="C593:D595"/>
    <mergeCell ref="A594:A595"/>
    <mergeCell ref="A581:A583"/>
    <mergeCell ref="E583:R586"/>
    <mergeCell ref="S583:S586"/>
    <mergeCell ref="T583:T586"/>
    <mergeCell ref="C584:D586"/>
    <mergeCell ref="A585:A586"/>
    <mergeCell ref="A572:A574"/>
    <mergeCell ref="E574:R577"/>
    <mergeCell ref="S574:S577"/>
    <mergeCell ref="T574:T577"/>
    <mergeCell ref="C575:D577"/>
    <mergeCell ref="A576:A577"/>
    <mergeCell ref="A563:A565"/>
    <mergeCell ref="E565:R568"/>
    <mergeCell ref="S565:S568"/>
    <mergeCell ref="T565:T568"/>
    <mergeCell ref="C566:D568"/>
    <mergeCell ref="A567:A568"/>
    <mergeCell ref="A554:A556"/>
    <mergeCell ref="E556:R559"/>
    <mergeCell ref="S556:S559"/>
    <mergeCell ref="T556:T559"/>
    <mergeCell ref="C557:D559"/>
    <mergeCell ref="A558:A559"/>
    <mergeCell ref="A544:A546"/>
    <mergeCell ref="E546:R549"/>
    <mergeCell ref="S546:S549"/>
    <mergeCell ref="T546:T549"/>
    <mergeCell ref="C547:D549"/>
    <mergeCell ref="A548:A549"/>
    <mergeCell ref="A535:A537"/>
    <mergeCell ref="E537:R540"/>
    <mergeCell ref="S537:S540"/>
    <mergeCell ref="T537:T540"/>
    <mergeCell ref="C538:D540"/>
    <mergeCell ref="A539:A540"/>
    <mergeCell ref="A507:A511"/>
    <mergeCell ref="C507:C510"/>
    <mergeCell ref="E509:T511"/>
    <mergeCell ref="C511:D513"/>
    <mergeCell ref="A512:A513"/>
    <mergeCell ref="A526:A528"/>
    <mergeCell ref="S528:S531"/>
    <mergeCell ref="T528:T531"/>
    <mergeCell ref="C529:D531"/>
    <mergeCell ref="A530:A531"/>
    <mergeCell ref="A485:A489"/>
    <mergeCell ref="C485:C488"/>
    <mergeCell ref="C489:D491"/>
    <mergeCell ref="A490:A491"/>
    <mergeCell ref="A495:A499"/>
    <mergeCell ref="C495:C498"/>
    <mergeCell ref="C499:D501"/>
    <mergeCell ref="A500:A501"/>
    <mergeCell ref="A467:A472"/>
    <mergeCell ref="C467:C470"/>
    <mergeCell ref="C471:D474"/>
    <mergeCell ref="A473:A474"/>
    <mergeCell ref="A478:A479"/>
    <mergeCell ref="C479:D481"/>
    <mergeCell ref="A480:A481"/>
    <mergeCell ref="A446:A447"/>
    <mergeCell ref="C446:D452"/>
    <mergeCell ref="A456:A460"/>
    <mergeCell ref="C456:C459"/>
    <mergeCell ref="C460:D463"/>
    <mergeCell ref="A461:A462"/>
    <mergeCell ref="A432:A436"/>
    <mergeCell ref="C432:C433"/>
    <mergeCell ref="C436:D439"/>
    <mergeCell ref="A437:A438"/>
    <mergeCell ref="R437:T437"/>
    <mergeCell ref="A442:A445"/>
    <mergeCell ref="C442:C445"/>
    <mergeCell ref="A407:A413"/>
    <mergeCell ref="C407:C408"/>
    <mergeCell ref="C409:D417"/>
    <mergeCell ref="A414:A415"/>
    <mergeCell ref="A422:A426"/>
    <mergeCell ref="C422:C425"/>
    <mergeCell ref="C426:D428"/>
    <mergeCell ref="A427:A428"/>
    <mergeCell ref="A381:A387"/>
    <mergeCell ref="C381:C384"/>
    <mergeCell ref="C385:D391"/>
    <mergeCell ref="A388:A389"/>
    <mergeCell ref="C395:C398"/>
    <mergeCell ref="A396:A399"/>
    <mergeCell ref="C399:C403"/>
    <mergeCell ref="A400:A401"/>
    <mergeCell ref="A352:A356"/>
    <mergeCell ref="C352:C356"/>
    <mergeCell ref="A357:A358"/>
    <mergeCell ref="C357:D360"/>
    <mergeCell ref="A367:A373"/>
    <mergeCell ref="C367:C368"/>
    <mergeCell ref="C371:D377"/>
    <mergeCell ref="A374:A375"/>
    <mergeCell ref="A331:A332"/>
    <mergeCell ref="C331:C333"/>
    <mergeCell ref="E331:T332"/>
    <mergeCell ref="A337:A341"/>
    <mergeCell ref="C337:C338"/>
    <mergeCell ref="A342:A343"/>
    <mergeCell ref="C343:D347"/>
    <mergeCell ref="A318:A321"/>
    <mergeCell ref="C318:C320"/>
    <mergeCell ref="A322:A323"/>
    <mergeCell ref="C322:C324"/>
    <mergeCell ref="E322:T323"/>
    <mergeCell ref="A327:A330"/>
    <mergeCell ref="C327:C329"/>
    <mergeCell ref="A304:A305"/>
    <mergeCell ref="C304:D305"/>
    <mergeCell ref="E304:T305"/>
    <mergeCell ref="A309:A312"/>
    <mergeCell ref="C309:C312"/>
    <mergeCell ref="A313:A314"/>
    <mergeCell ref="C313:D314"/>
    <mergeCell ref="E313:T314"/>
    <mergeCell ref="A292:A295"/>
    <mergeCell ref="C292:C295"/>
    <mergeCell ref="A296:A297"/>
    <mergeCell ref="C296:D297"/>
    <mergeCell ref="E296:T297"/>
    <mergeCell ref="A301:A303"/>
    <mergeCell ref="C301:C302"/>
    <mergeCell ref="A274:A278"/>
    <mergeCell ref="C274:C277"/>
    <mergeCell ref="G277:P277"/>
    <mergeCell ref="C278:D282"/>
    <mergeCell ref="A279:A280"/>
    <mergeCell ref="A287:A288"/>
    <mergeCell ref="C287:D288"/>
    <mergeCell ref="E287:T288"/>
    <mergeCell ref="A253:A258"/>
    <mergeCell ref="C253:C256"/>
    <mergeCell ref="C257:D262"/>
    <mergeCell ref="A259:A260"/>
    <mergeCell ref="A265:A267"/>
    <mergeCell ref="C265:C266"/>
    <mergeCell ref="C267:D269"/>
    <mergeCell ref="A225:A231"/>
    <mergeCell ref="C225:C227"/>
    <mergeCell ref="E226:T235"/>
    <mergeCell ref="C229:D235"/>
    <mergeCell ref="A232:A233"/>
    <mergeCell ref="A239:A245"/>
    <mergeCell ref="C239:C242"/>
    <mergeCell ref="C243:D249"/>
    <mergeCell ref="A246:A247"/>
    <mergeCell ref="A197:A201"/>
    <mergeCell ref="C197:C199"/>
    <mergeCell ref="A202:A203"/>
    <mergeCell ref="C203:D204"/>
    <mergeCell ref="A209:A215"/>
    <mergeCell ref="C209:C211"/>
    <mergeCell ref="C212:C213"/>
    <mergeCell ref="C214:C219"/>
    <mergeCell ref="A216:A217"/>
    <mergeCell ref="A178:A180"/>
    <mergeCell ref="C178:C179"/>
    <mergeCell ref="C180:D183"/>
    <mergeCell ref="A181:A182"/>
    <mergeCell ref="A186:A190"/>
    <mergeCell ref="C186:C188"/>
    <mergeCell ref="C190:D194"/>
    <mergeCell ref="A191:A192"/>
    <mergeCell ref="A159:A161"/>
    <mergeCell ref="C159:C161"/>
    <mergeCell ref="E161:T163"/>
    <mergeCell ref="A162:A163"/>
    <mergeCell ref="C162:C163"/>
    <mergeCell ref="A169:A171"/>
    <mergeCell ref="C171:D174"/>
    <mergeCell ref="A172:A173"/>
    <mergeCell ref="A139:A140"/>
    <mergeCell ref="C139:D141"/>
    <mergeCell ref="A144:A149"/>
    <mergeCell ref="C144:C146"/>
    <mergeCell ref="C148:D154"/>
    <mergeCell ref="A150:A151"/>
    <mergeCell ref="A125:A129"/>
    <mergeCell ref="C125:C127"/>
    <mergeCell ref="C129:D132"/>
    <mergeCell ref="A130:A131"/>
    <mergeCell ref="A135:A138"/>
    <mergeCell ref="C135:C138"/>
    <mergeCell ref="A116:A120"/>
    <mergeCell ref="C116:C118"/>
    <mergeCell ref="G118:M118"/>
    <mergeCell ref="E119:R121"/>
    <mergeCell ref="S119:S121"/>
    <mergeCell ref="T119:T121"/>
    <mergeCell ref="C120:D122"/>
    <mergeCell ref="A121:A122"/>
    <mergeCell ref="A97:A98"/>
    <mergeCell ref="C97:D98"/>
    <mergeCell ref="A104:A111"/>
    <mergeCell ref="C104:C107"/>
    <mergeCell ref="C108:D113"/>
    <mergeCell ref="A112:A113"/>
    <mergeCell ref="C78:C80"/>
    <mergeCell ref="A83:A86"/>
    <mergeCell ref="C83:C85"/>
    <mergeCell ref="A87:A88"/>
    <mergeCell ref="C87:D89"/>
    <mergeCell ref="A93:A95"/>
    <mergeCell ref="C93:C95"/>
    <mergeCell ref="G63:R63"/>
    <mergeCell ref="S63:T64"/>
    <mergeCell ref="C64:D70"/>
    <mergeCell ref="G64:R64"/>
    <mergeCell ref="A69:A70"/>
    <mergeCell ref="A74:A77"/>
    <mergeCell ref="C74:C76"/>
    <mergeCell ref="G75:Q75"/>
    <mergeCell ref="E76:T79"/>
    <mergeCell ref="A78:A79"/>
    <mergeCell ref="A41:A45"/>
    <mergeCell ref="C41:C42"/>
    <mergeCell ref="C45:C47"/>
    <mergeCell ref="A46:A47"/>
    <mergeCell ref="A60:A68"/>
    <mergeCell ref="C60:C61"/>
    <mergeCell ref="A16:A22"/>
    <mergeCell ref="C16:C17"/>
    <mergeCell ref="C20:D26"/>
    <mergeCell ref="A23:A24"/>
    <mergeCell ref="A30:A35"/>
    <mergeCell ref="C30:C33"/>
    <mergeCell ref="C34:C37"/>
    <mergeCell ref="A36:A37"/>
    <mergeCell ref="A1:T1"/>
    <mergeCell ref="A2:L2"/>
    <mergeCell ref="A3:I4"/>
    <mergeCell ref="J3:P4"/>
    <mergeCell ref="A6:R6"/>
    <mergeCell ref="S6:T6"/>
  </mergeCells>
  <pageMargins left="1" right="0" top="0.28999999999999998" bottom="0.24" header="0.21" footer="0.17"/>
  <pageSetup scale="21" fitToHeight="0" orientation="landscape" r:id="rId1"/>
  <headerFooter>
    <oddFooter>&amp;C_x000D_&amp;1#&amp;"Aptos"&amp;10&amp;K008000 Public</oddFooter>
  </headerFooter>
  <legacyDrawing r:id="rId2"/>
</worksheet>
</file>

<file path=docMetadata/LabelInfo.xml><?xml version="1.0" encoding="utf-8"?>
<clbl:labelList xmlns:clbl="http://schemas.microsoft.com/office/2020/mipLabelMetadata">
  <clbl:label id="{26a88b31-878d-453a-a76c-1bbd8d8f2d66}" enabled="1" method="Privileged" siteId="{d84a9014-710d-4a9d-8901-c26a4d2f2467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357</vt:i4>
      </vt:variant>
    </vt:vector>
  </HeadingPairs>
  <TitlesOfParts>
    <vt:vector size="358" baseType="lpstr">
      <vt:lpstr>ALL STREET IN OPERA</vt:lpstr>
      <vt:lpstr>glb11_name</vt:lpstr>
      <vt:lpstr>glb11_total</vt:lpstr>
      <vt:lpstr>glb12_name</vt:lpstr>
      <vt:lpstr>glb12_total</vt:lpstr>
      <vt:lpstr>glb14_name</vt:lpstr>
      <vt:lpstr>glb14_total</vt:lpstr>
      <vt:lpstr>glb14c_name</vt:lpstr>
      <vt:lpstr>glb14c_total</vt:lpstr>
      <vt:lpstr>glb16_name</vt:lpstr>
      <vt:lpstr>glb16_total</vt:lpstr>
      <vt:lpstr>glb16bq_name</vt:lpstr>
      <vt:lpstr>glb16bq_total</vt:lpstr>
      <vt:lpstr>glb17af1_name</vt:lpstr>
      <vt:lpstr>glb17af1_total</vt:lpstr>
      <vt:lpstr>glb17af2_name</vt:lpstr>
      <vt:lpstr>glb17af2_total</vt:lpstr>
      <vt:lpstr>glb17f2_name</vt:lpstr>
      <vt:lpstr>glb17f2_total</vt:lpstr>
      <vt:lpstr>glb19??_total</vt:lpstr>
      <vt:lpstr>glb19?_name</vt:lpstr>
      <vt:lpstr>glb19?_total</vt:lpstr>
      <vt:lpstr>glb19_name</vt:lpstr>
      <vt:lpstr>glb19_total</vt:lpstr>
      <vt:lpstr>glb19af1_name</vt:lpstr>
      <vt:lpstr>glb19af1_total</vt:lpstr>
      <vt:lpstr>glb19af2_name</vt:lpstr>
      <vt:lpstr>glb19af2_total</vt:lpstr>
      <vt:lpstr>glb19af3_name</vt:lpstr>
      <vt:lpstr>glb19af3_total</vt:lpstr>
      <vt:lpstr>glb19bf1_name</vt:lpstr>
      <vt:lpstr>glb19bf1_total</vt:lpstr>
      <vt:lpstr>glb19bf2_name</vt:lpstr>
      <vt:lpstr>glb19bf2_total</vt:lpstr>
      <vt:lpstr>glb19cf2_name</vt:lpstr>
      <vt:lpstr>glb19cf2_total</vt:lpstr>
      <vt:lpstr>glb19cf3_name</vt:lpstr>
      <vt:lpstr>glb19cf3_total</vt:lpstr>
      <vt:lpstr>glb1a_name</vt:lpstr>
      <vt:lpstr>glb1a_total</vt:lpstr>
      <vt:lpstr>glb20f1_name</vt:lpstr>
      <vt:lpstr>glb20f1_total</vt:lpstr>
      <vt:lpstr>glb20f2_name</vt:lpstr>
      <vt:lpstr>glb20f2_total</vt:lpstr>
      <vt:lpstr>glb20f3_name</vt:lpstr>
      <vt:lpstr>glb20f3_total</vt:lpstr>
      <vt:lpstr>glb20f4_name</vt:lpstr>
      <vt:lpstr>glb20f4_total</vt:lpstr>
      <vt:lpstr>glb20f5_name</vt:lpstr>
      <vt:lpstr>glb20f5_total</vt:lpstr>
      <vt:lpstr>glb20f6_name</vt:lpstr>
      <vt:lpstr>glb20f6_total</vt:lpstr>
      <vt:lpstr>glb20f7_name</vt:lpstr>
      <vt:lpstr>glb20f7_total</vt:lpstr>
      <vt:lpstr>glb20f8_name</vt:lpstr>
      <vt:lpstr>glb20f8_total</vt:lpstr>
      <vt:lpstr>glb20f9_name</vt:lpstr>
      <vt:lpstr>glb20f9_total</vt:lpstr>
      <vt:lpstr>glb21_name</vt:lpstr>
      <vt:lpstr>glb21_total</vt:lpstr>
      <vt:lpstr>glb2a_name</vt:lpstr>
      <vt:lpstr>glb2a_total</vt:lpstr>
      <vt:lpstr>glb2b_name</vt:lpstr>
      <vt:lpstr>glb2b_total</vt:lpstr>
      <vt:lpstr>glb3a_name</vt:lpstr>
      <vt:lpstr>glb3a_total</vt:lpstr>
      <vt:lpstr>glb3b_name</vt:lpstr>
      <vt:lpstr>glb3b_total</vt:lpstr>
      <vt:lpstr>glb4_name</vt:lpstr>
      <vt:lpstr>glb4_total</vt:lpstr>
      <vt:lpstr>glb5a_name</vt:lpstr>
      <vt:lpstr>glb5a_total</vt:lpstr>
      <vt:lpstr>glb5b_name</vt:lpstr>
      <vt:lpstr>glb5b_total</vt:lpstr>
      <vt:lpstr>glb6_name</vt:lpstr>
      <vt:lpstr>glb6_total</vt:lpstr>
      <vt:lpstr>glb7a_name</vt:lpstr>
      <vt:lpstr>glb7a_total</vt:lpstr>
      <vt:lpstr>glb7b_name</vt:lpstr>
      <vt:lpstr>glb7b_total</vt:lpstr>
      <vt:lpstr>glb8_name</vt:lpstr>
      <vt:lpstr>glb8_total</vt:lpstr>
      <vt:lpstr>glb9a_name</vt:lpstr>
      <vt:lpstr>glb9a_total</vt:lpstr>
      <vt:lpstr>glb9bf1_name</vt:lpstr>
      <vt:lpstr>glb9bf1_total</vt:lpstr>
      <vt:lpstr>glb9bf2_name</vt:lpstr>
      <vt:lpstr>glb9bf2_total</vt:lpstr>
      <vt:lpstr>glb9d_name</vt:lpstr>
      <vt:lpstr>glb9d_total</vt:lpstr>
      <vt:lpstr>ibb1_name</vt:lpstr>
      <vt:lpstr>ibb1_total</vt:lpstr>
      <vt:lpstr>ibb10a_name</vt:lpstr>
      <vt:lpstr>ibb10a_total</vt:lpstr>
      <vt:lpstr>ibb10b_name</vt:lpstr>
      <vt:lpstr>ibb10b_total</vt:lpstr>
      <vt:lpstr>ibb10c_name</vt:lpstr>
      <vt:lpstr>ibb10c_total</vt:lpstr>
      <vt:lpstr>ibb14_name</vt:lpstr>
      <vt:lpstr>ibb14_total</vt:lpstr>
      <vt:lpstr>ibb16_name</vt:lpstr>
      <vt:lpstr>ibb16_total</vt:lpstr>
      <vt:lpstr>ibb16A_name</vt:lpstr>
      <vt:lpstr>ibb16A_total</vt:lpstr>
      <vt:lpstr>ibb18f1_name</vt:lpstr>
      <vt:lpstr>ibb18f1_total</vt:lpstr>
      <vt:lpstr>ibb18f2_name</vt:lpstr>
      <vt:lpstr>ibb18f2_total</vt:lpstr>
      <vt:lpstr>ibb18f3_name</vt:lpstr>
      <vt:lpstr>ibb18f3_total</vt:lpstr>
      <vt:lpstr>ibb18f4_name</vt:lpstr>
      <vt:lpstr>ibb18f4_total</vt:lpstr>
      <vt:lpstr>ibb20_name</vt:lpstr>
      <vt:lpstr>ibb20_total</vt:lpstr>
      <vt:lpstr>ibb21_name</vt:lpstr>
      <vt:lpstr>ibb21_total</vt:lpstr>
      <vt:lpstr>ibb21a_name</vt:lpstr>
      <vt:lpstr>ibb21a_total</vt:lpstr>
      <vt:lpstr>ibb21b_name</vt:lpstr>
      <vt:lpstr>ibb21B_total</vt:lpstr>
      <vt:lpstr>ibb21c_name</vt:lpstr>
      <vt:lpstr>ibb21c_total</vt:lpstr>
      <vt:lpstr>ibb23b_name</vt:lpstr>
      <vt:lpstr>ibb23b_total</vt:lpstr>
      <vt:lpstr>ibb23c_name</vt:lpstr>
      <vt:lpstr>ibb23c_total</vt:lpstr>
      <vt:lpstr>ibb25_name</vt:lpstr>
      <vt:lpstr>ibb25_total</vt:lpstr>
      <vt:lpstr>ibb26f1_name</vt:lpstr>
      <vt:lpstr>ibb26f1_total</vt:lpstr>
      <vt:lpstr>ibb26f2_name</vt:lpstr>
      <vt:lpstr>ibb26f2_total</vt:lpstr>
      <vt:lpstr>ibb26f3_name</vt:lpstr>
      <vt:lpstr>ibb26f3_total</vt:lpstr>
      <vt:lpstr>ibb26f4_name</vt:lpstr>
      <vt:lpstr>ibb26f4_total</vt:lpstr>
      <vt:lpstr>ibb27_name</vt:lpstr>
      <vt:lpstr>ibb27_total</vt:lpstr>
      <vt:lpstr>ibb27b_name</vt:lpstr>
      <vt:lpstr>ibb27b_total</vt:lpstr>
      <vt:lpstr>ibb29a_name</vt:lpstr>
      <vt:lpstr>ibb29a_total</vt:lpstr>
      <vt:lpstr>ibb29abq_name</vt:lpstr>
      <vt:lpstr>ibb29abq_total</vt:lpstr>
      <vt:lpstr>ibb29b_name</vt:lpstr>
      <vt:lpstr>ibb29b_total</vt:lpstr>
      <vt:lpstr>ibb3?f?_name</vt:lpstr>
      <vt:lpstr>ibb3?f?_total</vt:lpstr>
      <vt:lpstr>ibb30_name</vt:lpstr>
      <vt:lpstr>ibb30_total</vt:lpstr>
      <vt:lpstr>ibb30f1_name</vt:lpstr>
      <vt:lpstr>ibb30f1_total</vt:lpstr>
      <vt:lpstr>ibb30f4_name</vt:lpstr>
      <vt:lpstr>ibb30f4_total</vt:lpstr>
      <vt:lpstr>ibb31f1_name</vt:lpstr>
      <vt:lpstr>ibb31f1_total</vt:lpstr>
      <vt:lpstr>ibb31f2_name</vt:lpstr>
      <vt:lpstr>ibb31f2_total</vt:lpstr>
      <vt:lpstr>ibb31f3_name</vt:lpstr>
      <vt:lpstr>ibb31f3_total</vt:lpstr>
      <vt:lpstr>ibb31f4_name</vt:lpstr>
      <vt:lpstr>ibb31f4_total</vt:lpstr>
      <vt:lpstr>ibb32?_name</vt:lpstr>
      <vt:lpstr>ibb32?_total</vt:lpstr>
      <vt:lpstr>ibb32_name</vt:lpstr>
      <vt:lpstr>ibb32_total</vt:lpstr>
      <vt:lpstr>ibb33_name</vt:lpstr>
      <vt:lpstr>ibb33_total</vt:lpstr>
      <vt:lpstr>ibb34_name</vt:lpstr>
      <vt:lpstr>ibb34_total</vt:lpstr>
      <vt:lpstr>ibb36a_name</vt:lpstr>
      <vt:lpstr>ibb36a_total</vt:lpstr>
      <vt:lpstr>ibb36b_name</vt:lpstr>
      <vt:lpstr>ibb36b_total</vt:lpstr>
      <vt:lpstr>ibb38_name</vt:lpstr>
      <vt:lpstr>ibb38_total</vt:lpstr>
      <vt:lpstr>ibb3af1_name</vt:lpstr>
      <vt:lpstr>ibb3af1_total</vt:lpstr>
      <vt:lpstr>ibb3af2_name</vt:lpstr>
      <vt:lpstr>ibb3af2_total</vt:lpstr>
      <vt:lpstr>ibb3af3_name</vt:lpstr>
      <vt:lpstr>ibb3af3_total</vt:lpstr>
      <vt:lpstr>ibb3af4_name</vt:lpstr>
      <vt:lpstr>ibb3af4_total</vt:lpstr>
      <vt:lpstr>ibb5_name</vt:lpstr>
      <vt:lpstr>ibb5_total</vt:lpstr>
      <vt:lpstr>ibb7_name</vt:lpstr>
      <vt:lpstr>ibb7_total</vt:lpstr>
      <vt:lpstr>ibb9_name</vt:lpstr>
      <vt:lpstr>ibb9_total</vt:lpstr>
      <vt:lpstr>koa10f1_name</vt:lpstr>
      <vt:lpstr>koa10f1_total</vt:lpstr>
      <vt:lpstr>koa10f2_name</vt:lpstr>
      <vt:lpstr>koa10f2_total</vt:lpstr>
      <vt:lpstr>koa10f3_name</vt:lpstr>
      <vt:lpstr>koa10f3_total</vt:lpstr>
      <vt:lpstr>koa10f4_name</vt:lpstr>
      <vt:lpstr>koa10f4_total</vt:lpstr>
      <vt:lpstr>koa10f5_name</vt:lpstr>
      <vt:lpstr>koa10f5_total</vt:lpstr>
      <vt:lpstr>koa10f6_name</vt:lpstr>
      <vt:lpstr>koa10f6_total</vt:lpstr>
      <vt:lpstr>koa13a_name</vt:lpstr>
      <vt:lpstr>koa13a_total</vt:lpstr>
      <vt:lpstr>koa13b_name</vt:lpstr>
      <vt:lpstr>koa13b_total</vt:lpstr>
      <vt:lpstr>koa15_name</vt:lpstr>
      <vt:lpstr>koa15_total</vt:lpstr>
      <vt:lpstr>koa15f1_name</vt:lpstr>
      <vt:lpstr>koa15f1_total</vt:lpstr>
      <vt:lpstr>koa15f2_name</vt:lpstr>
      <vt:lpstr>koa15f2_total</vt:lpstr>
      <vt:lpstr>koa15f3_name</vt:lpstr>
      <vt:lpstr>koa15f3_total</vt:lpstr>
      <vt:lpstr>koa16_name</vt:lpstr>
      <vt:lpstr>koa16_total</vt:lpstr>
      <vt:lpstr>koa17_name</vt:lpstr>
      <vt:lpstr>koa17_total</vt:lpstr>
      <vt:lpstr>koa17b_name</vt:lpstr>
      <vt:lpstr>koa17b_total</vt:lpstr>
      <vt:lpstr>koa17bq_name</vt:lpstr>
      <vt:lpstr>koa17bq_total</vt:lpstr>
      <vt:lpstr>koa17f1_name</vt:lpstr>
      <vt:lpstr>koa17f1_total</vt:lpstr>
      <vt:lpstr>koa17f2_name</vt:lpstr>
      <vt:lpstr>koa17f2_total</vt:lpstr>
      <vt:lpstr>koa17f3_name</vt:lpstr>
      <vt:lpstr>koa17f3_total</vt:lpstr>
      <vt:lpstr>koa17f4_name</vt:lpstr>
      <vt:lpstr>koa18a_name</vt:lpstr>
      <vt:lpstr>koa18a_total</vt:lpstr>
      <vt:lpstr>koa18b_name</vt:lpstr>
      <vt:lpstr>koa18b_total</vt:lpstr>
      <vt:lpstr>koa18f1_name</vt:lpstr>
      <vt:lpstr>koa18f1_total</vt:lpstr>
      <vt:lpstr>koa18f2_name</vt:lpstr>
      <vt:lpstr>koa18f2_total</vt:lpstr>
      <vt:lpstr>koa19a1_name</vt:lpstr>
      <vt:lpstr>koa19a1_total</vt:lpstr>
      <vt:lpstr>koa19a2_name</vt:lpstr>
      <vt:lpstr>koa19a2_total</vt:lpstr>
      <vt:lpstr>koa19b_name</vt:lpstr>
      <vt:lpstr>koa19b_total</vt:lpstr>
      <vt:lpstr>koa1a_name</vt:lpstr>
      <vt:lpstr>koa1a_total</vt:lpstr>
      <vt:lpstr>koa1b_name</vt:lpstr>
      <vt:lpstr>koa1b_total</vt:lpstr>
      <vt:lpstr>koa2_name</vt:lpstr>
      <vt:lpstr>koa2_total</vt:lpstr>
      <vt:lpstr>koa3a_name</vt:lpstr>
      <vt:lpstr>koa3a_total</vt:lpstr>
      <vt:lpstr>koa3b_name</vt:lpstr>
      <vt:lpstr>koa3b_total</vt:lpstr>
      <vt:lpstr>koa3c_name</vt:lpstr>
      <vt:lpstr>koa3c_total</vt:lpstr>
      <vt:lpstr>koa4_name</vt:lpstr>
      <vt:lpstr>koa4_total</vt:lpstr>
      <vt:lpstr>koa5_name</vt:lpstr>
      <vt:lpstr>koa5_total</vt:lpstr>
      <vt:lpstr>koa6_name</vt:lpstr>
      <vt:lpstr>koa6_total</vt:lpstr>
      <vt:lpstr>koa7_name</vt:lpstr>
      <vt:lpstr>koa7_total</vt:lpstr>
      <vt:lpstr>koa7a_name</vt:lpstr>
      <vt:lpstr>koa7a_total</vt:lpstr>
      <vt:lpstr>koa8_name</vt:lpstr>
      <vt:lpstr>koa8_total</vt:lpstr>
      <vt:lpstr>koa9_name</vt:lpstr>
      <vt:lpstr>koa9_total</vt:lpstr>
      <vt:lpstr>ojok11f2_name</vt:lpstr>
      <vt:lpstr>ojok11f2_total</vt:lpstr>
      <vt:lpstr>ojok11f3_name</vt:lpstr>
      <vt:lpstr>ojok11f3_total</vt:lpstr>
      <vt:lpstr>ojok11f4_name</vt:lpstr>
      <vt:lpstr>ojok11f4_total</vt:lpstr>
      <vt:lpstr>ojok11f4b_name</vt:lpstr>
      <vt:lpstr>ojok11f4b_total</vt:lpstr>
      <vt:lpstr>ojok12_name</vt:lpstr>
      <vt:lpstr>ojok12_total</vt:lpstr>
      <vt:lpstr>ojok12bq_name</vt:lpstr>
      <vt:lpstr>ojok12bq_total</vt:lpstr>
      <vt:lpstr>ojok12f1_name</vt:lpstr>
      <vt:lpstr>ojok12f1_total</vt:lpstr>
      <vt:lpstr>ojok12f2_name</vt:lpstr>
      <vt:lpstr>ojok12f2_total</vt:lpstr>
      <vt:lpstr>ojok12f3_name</vt:lpstr>
      <vt:lpstr>ojok12f3_total</vt:lpstr>
      <vt:lpstr>ojok12f4_name</vt:lpstr>
      <vt:lpstr>ojok12f4_total</vt:lpstr>
      <vt:lpstr>ojok14_name</vt:lpstr>
      <vt:lpstr>ojok14_total</vt:lpstr>
      <vt:lpstr>ojok14a_name</vt:lpstr>
      <vt:lpstr>ojok14a_total</vt:lpstr>
      <vt:lpstr>ojok15f1_name</vt:lpstr>
      <vt:lpstr>ojok15f1_total</vt:lpstr>
      <vt:lpstr>ojok15f2_name</vt:lpstr>
      <vt:lpstr>ojok15f2_total</vt:lpstr>
      <vt:lpstr>ojok15f3_name</vt:lpstr>
      <vt:lpstr>ojok15f3_total</vt:lpstr>
      <vt:lpstr>ojok15f4_name</vt:lpstr>
      <vt:lpstr>ojok15f4_total</vt:lpstr>
      <vt:lpstr>ojok16a_name</vt:lpstr>
      <vt:lpstr>ojok16a_total</vt:lpstr>
      <vt:lpstr>ojok16b_name</vt:lpstr>
      <vt:lpstr>ojok16b_total</vt:lpstr>
      <vt:lpstr>ojok16c_name</vt:lpstr>
      <vt:lpstr>ojok16c_total</vt:lpstr>
      <vt:lpstr>ojok16d_name</vt:lpstr>
      <vt:lpstr>ojok16d_total</vt:lpstr>
      <vt:lpstr>ojok16e_name</vt:lpstr>
      <vt:lpstr>ojok16e_total</vt:lpstr>
      <vt:lpstr>ojok16f_name</vt:lpstr>
      <vt:lpstr>ojok16f_total</vt:lpstr>
      <vt:lpstr>ojok17_name</vt:lpstr>
      <vt:lpstr>ojok17_total</vt:lpstr>
      <vt:lpstr>ojok18b_name</vt:lpstr>
      <vt:lpstr>ojok18b_total</vt:lpstr>
      <vt:lpstr>ojok19_name</vt:lpstr>
      <vt:lpstr>ojok19_total</vt:lpstr>
      <vt:lpstr>ojok2_name</vt:lpstr>
      <vt:lpstr>ojok2_total</vt:lpstr>
      <vt:lpstr>ojok20_name</vt:lpstr>
      <vt:lpstr>ojok20_total</vt:lpstr>
      <vt:lpstr>ojok20bq_name</vt:lpstr>
      <vt:lpstr>ojok20bq_total</vt:lpstr>
      <vt:lpstr>ojok20f1_name</vt:lpstr>
      <vt:lpstr>ojok20f1_total</vt:lpstr>
      <vt:lpstr>ojok20f2_name</vt:lpstr>
      <vt:lpstr>ojok20f2_total</vt:lpstr>
      <vt:lpstr>ojok21_name</vt:lpstr>
      <vt:lpstr>ojok21_total</vt:lpstr>
      <vt:lpstr>ojok22_name</vt:lpstr>
      <vt:lpstr>ojok22_total</vt:lpstr>
      <vt:lpstr>ojok22f1_name</vt:lpstr>
      <vt:lpstr>ojok22f1_total</vt:lpstr>
      <vt:lpstr>ojok22f1b_name</vt:lpstr>
      <vt:lpstr>ojok22f1b_total</vt:lpstr>
      <vt:lpstr>ojok22f2_name</vt:lpstr>
      <vt:lpstr>ojok22f2_total</vt:lpstr>
      <vt:lpstr>ojok22f3_name</vt:lpstr>
      <vt:lpstr>ojok22f3_total</vt:lpstr>
      <vt:lpstr>ojok22f4_name</vt:lpstr>
      <vt:lpstr>ojok22f4_total</vt:lpstr>
      <vt:lpstr>ojok23_name</vt:lpstr>
      <vt:lpstr>ojok23_total</vt:lpstr>
      <vt:lpstr>ojok4_name</vt:lpstr>
      <vt:lpstr>ojok4_total</vt:lpstr>
      <vt:lpstr>ojok6_name</vt:lpstr>
      <vt:lpstr>ojok6_total</vt:lpstr>
      <vt:lpstr>ojok8_name</vt:lpstr>
      <vt:lpstr>ojok8_total</vt:lpstr>
      <vt:lpstr>ojok9a_name</vt:lpstr>
      <vt:lpstr>ojok9a_total</vt:lpstr>
      <vt:lpstr>ojok9b_name</vt:lpstr>
      <vt:lpstr>ojok9b_total</vt:lpstr>
      <vt:lpstr>ojok9c_name</vt:lpstr>
      <vt:lpstr>ojok9c_total</vt:lpstr>
      <vt:lpstr>'ALL STREET IN OPERA'!Print_Area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Feyijimi Adewole</dc:creator>
  <cp:lastModifiedBy>Jimi Adewole</cp:lastModifiedBy>
  <dcterms:created xsi:type="dcterms:W3CDTF">2026-01-05T17:57:49Z</dcterms:created>
  <dcterms:modified xsi:type="dcterms:W3CDTF">2026-01-05T22:18:42Z</dcterms:modified>
</cp:coreProperties>
</file>